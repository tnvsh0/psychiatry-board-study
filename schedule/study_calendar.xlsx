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וח שבועי" sheetId="1" state="visible" r:id="rId1"/>
    <sheet xmlns:r="http://schemas.openxmlformats.org/officeDocument/2006/relationships" name="פירוט פרקים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b val="1"/>
      <sz val="12"/>
    </font>
  </fonts>
  <fills count="6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AF1FB"/>
      </patternFill>
    </fill>
    <fill>
      <patternFill patternType="solid">
        <fgColor rgb="00FCE8D6"/>
      </patternFill>
    </fill>
    <fill>
      <patternFill patternType="solid">
        <fgColor rgb="00FADBD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right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right" vertical="center" wrapText="1"/>
    </xf>
    <xf numFmtId="0" fontId="4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8" customWidth="1" min="7" max="7"/>
    <col width="60" customWidth="1" min="8" max="8"/>
    <col width="9" customWidth="1" min="9" max="9"/>
  </cols>
  <sheetData>
    <row r="1">
      <c r="A1" s="1" t="inlineStr">
        <is>
          <t>שבוע</t>
        </is>
      </c>
      <c r="B1" s="1" t="inlineStr">
        <is>
          <t>סוג</t>
        </is>
      </c>
      <c r="C1" s="1" t="inlineStr">
        <is>
          <t>מתאריך</t>
        </is>
      </c>
      <c r="D1" s="1" t="inlineStr">
        <is>
          <t>עד תאריך</t>
        </is>
      </c>
      <c r="E1" s="1" t="inlineStr">
        <is>
          <t>פרקים</t>
        </is>
      </c>
      <c r="F1" s="1" t="inlineStr">
        <is>
          <t>מס' פרקים</t>
        </is>
      </c>
      <c r="G1" s="1" t="inlineStr">
        <is>
          <t>עומס</t>
        </is>
      </c>
      <c r="H1" s="1" t="inlineStr">
        <is>
          <t>תחומים / מוקד</t>
        </is>
      </c>
      <c r="I1" s="1" t="inlineStr">
        <is>
          <t>הושלם</t>
        </is>
      </c>
    </row>
    <row r="2">
      <c r="A2" s="2" t="n">
        <v>1</v>
      </c>
      <c r="B2" s="2" t="inlineStr">
        <is>
          <t>למידה</t>
        </is>
      </c>
      <c r="C2" s="2" t="inlineStr">
        <is>
          <t>27 יול</t>
        </is>
      </c>
      <c r="D2" s="2" t="inlineStr">
        <is>
          <t>2 אוג</t>
        </is>
      </c>
      <c r="E2" s="2" t="inlineStr">
        <is>
          <t>1–9</t>
        </is>
      </c>
      <c r="F2" s="2" t="n">
        <v>9</v>
      </c>
      <c r="G2" s="2" t="n">
        <v>11.4</v>
      </c>
      <c r="H2" s="3" t="inlineStr">
        <is>
          <t>Foundations</t>
        </is>
      </c>
      <c r="I2" s="2" t="inlineStr"/>
    </row>
    <row r="3">
      <c r="A3" s="2" t="n">
        <v>2</v>
      </c>
      <c r="B3" s="2" t="inlineStr">
        <is>
          <t>למידה</t>
        </is>
      </c>
      <c r="C3" s="2" t="inlineStr">
        <is>
          <t>3 אוג</t>
        </is>
      </c>
      <c r="D3" s="2" t="inlineStr">
        <is>
          <t>9 אוג</t>
        </is>
      </c>
      <c r="E3" s="2" t="inlineStr">
        <is>
          <t>10–20</t>
        </is>
      </c>
      <c r="F3" s="2" t="n">
        <v>11</v>
      </c>
      <c r="G3" s="2" t="n">
        <v>12</v>
      </c>
      <c r="H3" s="3" t="inlineStr">
        <is>
          <t>Foundations · Neurodevelopmental</t>
        </is>
      </c>
      <c r="I3" s="2" t="inlineStr"/>
    </row>
    <row r="4">
      <c r="A4" s="2" t="n">
        <v>3</v>
      </c>
      <c r="B4" s="2" t="inlineStr">
        <is>
          <t>למידה</t>
        </is>
      </c>
      <c r="C4" s="2" t="inlineStr">
        <is>
          <t>10 אוג</t>
        </is>
      </c>
      <c r="D4" s="2" t="inlineStr">
        <is>
          <t>16 אוג</t>
        </is>
      </c>
      <c r="E4" s="2" t="inlineStr">
        <is>
          <t>21–30</t>
        </is>
      </c>
      <c r="F4" s="2" t="n">
        <v>10</v>
      </c>
      <c r="G4" s="2" t="n">
        <v>11.3</v>
      </c>
      <c r="H4" s="3" t="inlineStr">
        <is>
          <t>Neurodevelopmental · Mood and Anxiety</t>
        </is>
      </c>
      <c r="I4" s="2" t="inlineStr"/>
    </row>
    <row r="5">
      <c r="A5" s="2" t="n">
        <v>4</v>
      </c>
      <c r="B5" s="2" t="inlineStr">
        <is>
          <t>למידה</t>
        </is>
      </c>
      <c r="C5" s="2" t="inlineStr">
        <is>
          <t>17 אוג</t>
        </is>
      </c>
      <c r="D5" s="2" t="inlineStr">
        <is>
          <t>23 אוג</t>
        </is>
      </c>
      <c r="E5" s="2" t="inlineStr">
        <is>
          <t>31–40</t>
        </is>
      </c>
      <c r="F5" s="2" t="n">
        <v>10</v>
      </c>
      <c r="G5" s="2" t="n">
        <v>11.3</v>
      </c>
      <c r="H5" s="3" t="inlineStr">
        <is>
          <t>Mood and Anxiety</t>
        </is>
      </c>
      <c r="I5" s="2" t="inlineStr"/>
    </row>
    <row r="6">
      <c r="A6" s="2" t="n">
        <v>5</v>
      </c>
      <c r="B6" s="2" t="inlineStr">
        <is>
          <t>למידה</t>
        </is>
      </c>
      <c r="C6" s="2" t="inlineStr">
        <is>
          <t>24 אוג</t>
        </is>
      </c>
      <c r="D6" s="2" t="inlineStr">
        <is>
          <t>30 אוג</t>
        </is>
      </c>
      <c r="E6" s="2" t="inlineStr">
        <is>
          <t>41–51</t>
        </is>
      </c>
      <c r="F6" s="2" t="n">
        <v>11</v>
      </c>
      <c r="G6" s="2" t="n">
        <v>11.4</v>
      </c>
      <c r="H6" s="3" t="inlineStr">
        <is>
          <t>Mood and Anxiety · OCD and Trauma</t>
        </is>
      </c>
      <c r="I6" s="2" t="inlineStr"/>
    </row>
    <row r="7">
      <c r="A7" s="2" t="n">
        <v>6</v>
      </c>
      <c r="B7" s="2" t="inlineStr">
        <is>
          <t>למידה</t>
        </is>
      </c>
      <c r="C7" s="2" t="inlineStr">
        <is>
          <t>31 אוג</t>
        </is>
      </c>
      <c r="D7" s="2" t="inlineStr">
        <is>
          <t>6 ספט</t>
        </is>
      </c>
      <c r="E7" s="2" t="inlineStr">
        <is>
          <t>52–61</t>
        </is>
      </c>
      <c r="F7" s="2" t="n">
        <v>10</v>
      </c>
      <c r="G7" s="2" t="n">
        <v>11.4</v>
      </c>
      <c r="H7" s="3" t="inlineStr">
        <is>
          <t>OCD and Trauma · Psychosis and Antipsychotics</t>
        </is>
      </c>
      <c r="I7" s="2" t="inlineStr"/>
    </row>
    <row r="8">
      <c r="A8" s="2" t="n">
        <v>7</v>
      </c>
      <c r="B8" s="2" t="inlineStr">
        <is>
          <t>למידה</t>
        </is>
      </c>
      <c r="C8" s="2" t="inlineStr">
        <is>
          <t>7 ספט</t>
        </is>
      </c>
      <c r="D8" s="2" t="inlineStr">
        <is>
          <t>13 ספט</t>
        </is>
      </c>
      <c r="E8" s="2" t="inlineStr">
        <is>
          <t>62–70</t>
        </is>
      </c>
      <c r="F8" s="2" t="n">
        <v>9</v>
      </c>
      <c r="G8" s="2" t="n">
        <v>9.800000000000001</v>
      </c>
      <c r="H8" s="3" t="inlineStr">
        <is>
          <t>Psychosis and Antipsychotics</t>
        </is>
      </c>
      <c r="I8" s="2" t="inlineStr"/>
    </row>
    <row r="9">
      <c r="A9" s="2" t="n">
        <v>8</v>
      </c>
      <c r="B9" s="2" t="inlineStr">
        <is>
          <t>למידה</t>
        </is>
      </c>
      <c r="C9" s="2" t="inlineStr">
        <is>
          <t>14 ספט</t>
        </is>
      </c>
      <c r="D9" s="2" t="inlineStr">
        <is>
          <t>20 ספט</t>
        </is>
      </c>
      <c r="E9" s="2" t="inlineStr">
        <is>
          <t>71–80</t>
        </is>
      </c>
      <c r="F9" s="2" t="n">
        <v>10</v>
      </c>
      <c r="G9" s="2" t="n">
        <v>9.199999999999999</v>
      </c>
      <c r="H9" s="3" t="inlineStr">
        <is>
          <t>Sleep, Eating, Elimination</t>
        </is>
      </c>
      <c r="I9" s="2" t="inlineStr"/>
    </row>
    <row r="10">
      <c r="A10" s="2" t="n">
        <v>9</v>
      </c>
      <c r="B10" s="2" t="inlineStr">
        <is>
          <t>למידה</t>
        </is>
      </c>
      <c r="C10" s="2" t="inlineStr">
        <is>
          <t>21 ספט</t>
        </is>
      </c>
      <c r="D10" s="2" t="inlineStr">
        <is>
          <t>27 ספט</t>
        </is>
      </c>
      <c r="E10" s="2" t="inlineStr">
        <is>
          <t>81–90</t>
        </is>
      </c>
      <c r="F10" s="2" t="n">
        <v>10</v>
      </c>
      <c r="G10" s="2" t="n">
        <v>10.2</v>
      </c>
      <c r="H10" s="3" t="inlineStr">
        <is>
          <t>Substance Use</t>
        </is>
      </c>
      <c r="I10" s="2" t="inlineStr"/>
    </row>
    <row r="11">
      <c r="A11" s="2" t="n">
        <v>10</v>
      </c>
      <c r="B11" s="2" t="inlineStr">
        <is>
          <t>למידה</t>
        </is>
      </c>
      <c r="C11" s="2" t="inlineStr">
        <is>
          <t>28 ספט</t>
        </is>
      </c>
      <c r="D11" s="2" t="inlineStr">
        <is>
          <t>4 אוק</t>
        </is>
      </c>
      <c r="E11" s="2" t="inlineStr">
        <is>
          <t>91–101</t>
        </is>
      </c>
      <c r="F11" s="2" t="n">
        <v>11</v>
      </c>
      <c r="G11" s="2" t="n">
        <v>11.4</v>
      </c>
      <c r="H11" s="3" t="inlineStr">
        <is>
          <t>Personality + Special Populations</t>
        </is>
      </c>
      <c r="I11" s="2" t="inlineStr"/>
    </row>
    <row r="12">
      <c r="A12" s="2" t="n">
        <v>11</v>
      </c>
      <c r="B12" s="2" t="inlineStr">
        <is>
          <t>למידה</t>
        </is>
      </c>
      <c r="C12" s="2" t="inlineStr">
        <is>
          <t>5 אוק</t>
        </is>
      </c>
      <c r="D12" s="2" t="inlineStr">
        <is>
          <t>11 אוק</t>
        </is>
      </c>
      <c r="E12" s="2" t="inlineStr">
        <is>
          <t>102–112</t>
        </is>
      </c>
      <c r="F12" s="2" t="n">
        <v>11</v>
      </c>
      <c r="G12" s="2" t="n">
        <v>12.4</v>
      </c>
      <c r="H12" s="3" t="inlineStr">
        <is>
          <t>Personality + Special Populations</t>
        </is>
      </c>
      <c r="I12" s="2" t="inlineStr"/>
    </row>
    <row r="13">
      <c r="A13" s="2" t="n">
        <v>12</v>
      </c>
      <c r="B13" s="2" t="inlineStr">
        <is>
          <t>למידה</t>
        </is>
      </c>
      <c r="C13" s="2" t="inlineStr">
        <is>
          <t>12 אוק</t>
        </is>
      </c>
      <c r="D13" s="2" t="inlineStr">
        <is>
          <t>18 אוק</t>
        </is>
      </c>
      <c r="E13" s="2" t="inlineStr">
        <is>
          <t>113–124</t>
        </is>
      </c>
      <c r="F13" s="2" t="n">
        <v>12</v>
      </c>
      <c r="G13" s="2" t="n">
        <v>11.3</v>
      </c>
      <c r="H13" s="3" t="inlineStr">
        <is>
          <t>Personality + Special Populations · Neurology + Cross-cutting</t>
        </is>
      </c>
      <c r="I13" s="2" t="inlineStr"/>
    </row>
    <row r="14">
      <c r="A14" s="2" t="n">
        <v>13</v>
      </c>
      <c r="B14" s="2" t="inlineStr">
        <is>
          <t>למידה</t>
        </is>
      </c>
      <c r="C14" s="2" t="inlineStr">
        <is>
          <t>19 אוק</t>
        </is>
      </c>
      <c r="D14" s="2" t="inlineStr">
        <is>
          <t>25 אוק</t>
        </is>
      </c>
      <c r="E14" s="2" t="inlineStr">
        <is>
          <t>125–134</t>
        </is>
      </c>
      <c r="F14" s="2" t="n">
        <v>10</v>
      </c>
      <c r="G14" s="2" t="n">
        <v>12.1</v>
      </c>
      <c r="H14" s="3" t="inlineStr">
        <is>
          <t>Neurology + Cross-cutting · Psychotherapy + Integration</t>
        </is>
      </c>
      <c r="I14" s="2" t="inlineStr"/>
    </row>
    <row r="15">
      <c r="A15" s="2" t="n">
        <v>14</v>
      </c>
      <c r="B15" s="2" t="inlineStr">
        <is>
          <t>למידה</t>
        </is>
      </c>
      <c r="C15" s="2" t="inlineStr">
        <is>
          <t>26 אוק</t>
        </is>
      </c>
      <c r="D15" s="2" t="inlineStr">
        <is>
          <t>1 נוב</t>
        </is>
      </c>
      <c r="E15" s="2" t="inlineStr">
        <is>
          <t>135–144</t>
        </is>
      </c>
      <c r="F15" s="2" t="n">
        <v>10</v>
      </c>
      <c r="G15" s="2" t="n">
        <v>11.3</v>
      </c>
      <c r="H15" s="3" t="inlineStr">
        <is>
          <t>Psychotherapy + Integration</t>
        </is>
      </c>
      <c r="I15" s="2" t="inlineStr"/>
    </row>
    <row r="16">
      <c r="A16" s="4" t="n">
        <v>15</v>
      </c>
      <c r="B16" s="4" t="inlineStr">
        <is>
          <t>חזרה</t>
        </is>
      </c>
      <c r="C16" s="4" t="inlineStr">
        <is>
          <t>2 נוב</t>
        </is>
      </c>
      <c r="D16" s="4" t="inlineStr">
        <is>
          <t>8 נוב</t>
        </is>
      </c>
      <c r="E16" s="4" t="inlineStr">
        <is>
          <t>—</t>
        </is>
      </c>
      <c r="F16" s="4" t="inlineStr">
        <is>
          <t>—</t>
        </is>
      </c>
      <c r="G16" s="4" t="inlineStr">
        <is>
          <t>—</t>
        </is>
      </c>
      <c r="H16" s="5" t="inlineStr">
        <is>
          <t>חזרה מרוכזת — חצי ראשון (פאזות 1–6) — מעבר על נקודות ה-high-yield, כל הכרטיסיות שבתור, וסימון נקודות חולשה.</t>
        </is>
      </c>
      <c r="I16" s="4" t="inlineStr"/>
    </row>
    <row r="17">
      <c r="A17" s="4" t="n">
        <v>16</v>
      </c>
      <c r="B17" s="4" t="inlineStr">
        <is>
          <t>חזרה</t>
        </is>
      </c>
      <c r="C17" s="4" t="inlineStr">
        <is>
          <t>9 נוב</t>
        </is>
      </c>
      <c r="D17" s="4" t="inlineStr">
        <is>
          <t>15 נוב</t>
        </is>
      </c>
      <c r="E17" s="4" t="inlineStr">
        <is>
          <t>—</t>
        </is>
      </c>
      <c r="F17" s="4" t="inlineStr">
        <is>
          <t>—</t>
        </is>
      </c>
      <c r="G17" s="4" t="inlineStr">
        <is>
          <t>—</t>
        </is>
      </c>
      <c r="H17" s="5" t="inlineStr">
        <is>
          <t>חזרה מרוכזת — חצי שני (פאזות 7–10) — מעבר על נקודות ה-high-yield, כל הכרטיסיות שבתור, וסימון נקודות חולשה.</t>
        </is>
      </c>
      <c r="I17" s="4" t="inlineStr"/>
    </row>
    <row r="18">
      <c r="A18" s="4" t="n">
        <v>17</v>
      </c>
      <c r="B18" s="4" t="inlineStr">
        <is>
          <t>חזרה</t>
        </is>
      </c>
      <c r="C18" s="4" t="inlineStr">
        <is>
          <t>16 נוב</t>
        </is>
      </c>
      <c r="D18" s="4" t="inlineStr">
        <is>
          <t>22 נוב</t>
        </is>
      </c>
      <c r="E18" s="4" t="inlineStr">
        <is>
          <t>—</t>
        </is>
      </c>
      <c r="F18" s="4" t="inlineStr">
        <is>
          <t>—</t>
        </is>
      </c>
      <c r="G18" s="4" t="inlineStr">
        <is>
          <t>—</t>
        </is>
      </c>
      <c r="H18" s="5" t="inlineStr">
        <is>
          <t>מבחני תרגול + נקודות חולשה — וינייטות ומבחני תרגול; חזרה ממוקדת רק לנושאים שסומנו כחלשים בשבועיים הקודמים.</t>
        </is>
      </c>
      <c r="I18" s="4" t="inlineStr"/>
    </row>
    <row r="19">
      <c r="A19" s="6" t="inlineStr">
        <is>
          <t>בחינה</t>
        </is>
      </c>
      <c r="B19" s="6" t="inlineStr">
        <is>
          <t>—</t>
        </is>
      </c>
      <c r="C19" s="6" t="inlineStr">
        <is>
          <t>23 נוב</t>
        </is>
      </c>
      <c r="D19" s="6" t="inlineStr">
        <is>
          <t>25 נוב</t>
        </is>
      </c>
      <c r="E19" s="6" t="inlineStr">
        <is>
          <t>—</t>
        </is>
      </c>
      <c r="F19" s="6" t="inlineStr">
        <is>
          <t>—</t>
        </is>
      </c>
      <c r="G19" s="6" t="inlineStr">
        <is>
          <t>—</t>
        </is>
      </c>
      <c r="H19" s="7" t="inlineStr">
        <is>
          <t>שבוע הבחינה — מנוחה וחזרה קלה בלבד — לא ללמוד חומר חדש. סקירת high-yield וכרטיסיות אדומות.</t>
        </is>
      </c>
      <c r="I19" s="6" t="inlineStr"/>
    </row>
  </sheetData>
  <dataValidations count="1">
    <dataValidation sqref="I2:I19" showDropDown="0" showInputMessage="0" showErrorMessage="0" allowBlank="1" type="list">
      <formula1>"✓,"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7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34" customWidth="1" min="3" max="3"/>
    <col width="10" customWidth="1" min="4" max="4"/>
    <col width="8" customWidth="1" min="5" max="5"/>
    <col width="9" customWidth="1" min="6" max="6"/>
  </cols>
  <sheetData>
    <row r="1">
      <c r="A1" s="8" t="inlineStr">
        <is>
          <t>התקדמות:</t>
        </is>
      </c>
      <c r="B1" s="9" t="inlineStr">
        <is>
          <t>הושלמו</t>
        </is>
      </c>
      <c r="C1" s="9">
        <f>COUNTIF(F4:F147,"✓")</f>
        <v/>
      </c>
      <c r="D1" s="9" t="inlineStr">
        <is>
          <t>מתוך</t>
        </is>
      </c>
      <c r="E1" s="9">
        <f>COUNTA(A4:A147)</f>
        <v/>
      </c>
      <c r="F1" s="9" t="inlineStr">
        <is>
          <t>אחוז</t>
        </is>
      </c>
      <c r="G1" s="10">
        <f>IF(E1=0,0,C1/E1)</f>
        <v/>
      </c>
    </row>
    <row r="3">
      <c r="A3" s="1" t="inlineStr">
        <is>
          <t>פרק</t>
        </is>
      </c>
      <c r="B3" s="1" t="inlineStr">
        <is>
          <t>נושא</t>
        </is>
      </c>
      <c r="C3" s="1" t="inlineStr">
        <is>
          <t>פאזה</t>
        </is>
      </c>
      <c r="D3" s="1" t="inlineStr">
        <is>
          <t>צפיפות</t>
        </is>
      </c>
      <c r="E3" s="1" t="inlineStr">
        <is>
          <t>שבוע</t>
        </is>
      </c>
      <c r="F3" s="1" t="inlineStr">
        <is>
          <t>הושלם</t>
        </is>
      </c>
    </row>
    <row r="4">
      <c r="A4" s="11" t="n">
        <v>1</v>
      </c>
      <c r="B4" s="12" t="inlineStr">
        <is>
          <t>בדיקת ילד ומתבגר</t>
        </is>
      </c>
      <c r="C4" s="11" t="inlineStr">
        <is>
          <t>1. Foundations</t>
        </is>
      </c>
      <c r="D4" s="11" t="inlineStr">
        <is>
          <t>גבוהה</t>
        </is>
      </c>
      <c r="E4" s="11" t="n">
        <v>1</v>
      </c>
      <c r="F4" s="11" t="inlineStr"/>
    </row>
    <row r="5">
      <c r="A5" s="11" t="n">
        <v>2</v>
      </c>
      <c r="B5" s="12" t="inlineStr">
        <is>
          <t>יסודות נוירואנטומיה לפסיכיאטר</t>
        </is>
      </c>
      <c r="C5" s="11" t="inlineStr">
        <is>
          <t>1. Foundations</t>
        </is>
      </c>
      <c r="D5" s="11" t="inlineStr">
        <is>
          <t>גבוהה</t>
        </is>
      </c>
      <c r="E5" s="11" t="n">
        <v>1</v>
      </c>
      <c r="F5" s="11" t="inlineStr"/>
    </row>
    <row r="6">
      <c r="A6" s="11" t="n">
        <v>3</v>
      </c>
      <c r="B6" s="12" t="inlineStr">
        <is>
          <t>סקירה: נוירוטרנסמיטרים</t>
        </is>
      </c>
      <c r="C6" s="11" t="inlineStr">
        <is>
          <t>1. Foundations</t>
        </is>
      </c>
      <c r="D6" s="11" t="inlineStr">
        <is>
          <t>גבוהה</t>
        </is>
      </c>
      <c r="E6" s="11" t="n">
        <v>1</v>
      </c>
      <c r="F6" s="11" t="inlineStr"/>
    </row>
    <row r="7">
      <c r="A7" s="11" t="n">
        <v>4</v>
      </c>
      <c r="B7" s="12" t="inlineStr">
        <is>
          <t>מסלולי דופמין</t>
        </is>
      </c>
      <c r="C7" s="11" t="inlineStr">
        <is>
          <t>1. Foundations</t>
        </is>
      </c>
      <c r="D7" s="11" t="inlineStr">
        <is>
          <t>גבוהה</t>
        </is>
      </c>
      <c r="E7" s="11" t="n">
        <v>1</v>
      </c>
      <c r="F7" s="11" t="inlineStr"/>
    </row>
    <row r="8">
      <c r="A8" s="11" t="n">
        <v>5</v>
      </c>
      <c r="B8" s="12" t="inlineStr">
        <is>
          <t>מערכת הסרוטונין</t>
        </is>
      </c>
      <c r="C8" s="11" t="inlineStr">
        <is>
          <t>1. Foundations</t>
        </is>
      </c>
      <c r="D8" s="11" t="inlineStr">
        <is>
          <t>גבוהה</t>
        </is>
      </c>
      <c r="E8" s="11" t="n">
        <v>1</v>
      </c>
      <c r="F8" s="11" t="inlineStr"/>
    </row>
    <row r="9">
      <c r="A9" s="11" t="n">
        <v>6</v>
      </c>
      <c r="B9" s="12" t="inlineStr">
        <is>
          <t>מערכת הנוראפינפרין</t>
        </is>
      </c>
      <c r="C9" s="11" t="inlineStr">
        <is>
          <t>1. Foundations</t>
        </is>
      </c>
      <c r="D9" s="11" t="inlineStr">
        <is>
          <t>בינונית</t>
        </is>
      </c>
      <c r="E9" s="11" t="n">
        <v>1</v>
      </c>
      <c r="F9" s="11" t="inlineStr"/>
    </row>
    <row r="10">
      <c r="A10" s="11" t="n">
        <v>7</v>
      </c>
      <c r="B10" s="12" t="inlineStr">
        <is>
          <t>איזון GABA / גלוטמט</t>
        </is>
      </c>
      <c r="C10" s="11" t="inlineStr">
        <is>
          <t>1. Foundations</t>
        </is>
      </c>
      <c r="D10" s="11" t="inlineStr">
        <is>
          <t>גבוהה</t>
        </is>
      </c>
      <c r="E10" s="11" t="n">
        <v>1</v>
      </c>
      <c r="F10" s="11" t="inlineStr"/>
    </row>
    <row r="11">
      <c r="A11" s="11" t="n">
        <v>8</v>
      </c>
      <c r="B11" s="12" t="inlineStr">
        <is>
          <t>התפתחות נורמטיבית: גיל הינקות (0-2)</t>
        </is>
      </c>
      <c r="C11" s="11" t="inlineStr">
        <is>
          <t>1. Foundations</t>
        </is>
      </c>
      <c r="D11" s="11" t="inlineStr">
        <is>
          <t>בינונית</t>
        </is>
      </c>
      <c r="E11" s="11" t="n">
        <v>1</v>
      </c>
      <c r="F11" s="11" t="inlineStr"/>
    </row>
    <row r="12">
      <c r="A12" s="11" t="n">
        <v>9</v>
      </c>
      <c r="B12" s="12" t="inlineStr">
        <is>
          <t>התפתחות נורמטיבית: גיל הגן (2-5)</t>
        </is>
      </c>
      <c r="C12" s="11" t="inlineStr">
        <is>
          <t>1. Foundations</t>
        </is>
      </c>
      <c r="D12" s="11" t="inlineStr">
        <is>
          <t>בינונית</t>
        </is>
      </c>
      <c r="E12" s="11" t="n">
        <v>1</v>
      </c>
      <c r="F12" s="11" t="inlineStr"/>
    </row>
    <row r="13">
      <c r="A13" s="11" t="n">
        <v>10</v>
      </c>
      <c r="B13" s="12" t="inlineStr">
        <is>
          <t>התפתחות נורמטיבית: גיל בית ספר (6-12)</t>
        </is>
      </c>
      <c r="C13" s="11" t="inlineStr">
        <is>
          <t>1. Foundations</t>
        </is>
      </c>
      <c r="D13" s="11" t="inlineStr">
        <is>
          <t>בינונית</t>
        </is>
      </c>
      <c r="E13" s="11" t="n">
        <v>2</v>
      </c>
      <c r="F13" s="11" t="inlineStr"/>
    </row>
    <row r="14">
      <c r="A14" s="11" t="n">
        <v>11</v>
      </c>
      <c r="B14" s="12" t="inlineStr">
        <is>
          <t>התפתחות נורמטיבית: גיל ההתבגרות (13-18)</t>
        </is>
      </c>
      <c r="C14" s="11" t="inlineStr">
        <is>
          <t>1. Foundations</t>
        </is>
      </c>
      <c r="D14" s="11" t="inlineStr">
        <is>
          <t>בינונית</t>
        </is>
      </c>
      <c r="E14" s="11" t="n">
        <v>2</v>
      </c>
      <c r="F14" s="11" t="inlineStr"/>
    </row>
    <row r="15">
      <c r="A15" s="11" t="n">
        <v>12</v>
      </c>
      <c r="B15" s="12" t="inlineStr">
        <is>
          <t>תורת ההתקשרות ומנטליזציה</t>
        </is>
      </c>
      <c r="C15" s="11" t="inlineStr">
        <is>
          <t>1. Foundations</t>
        </is>
      </c>
      <c r="D15" s="11" t="inlineStr">
        <is>
          <t>בינונית</t>
        </is>
      </c>
      <c r="E15" s="11" t="n">
        <v>2</v>
      </c>
      <c r="F15" s="11" t="inlineStr"/>
    </row>
    <row r="16">
      <c r="A16" s="11" t="n">
        <v>13</v>
      </c>
      <c r="B16" s="12" t="inlineStr">
        <is>
          <t>טמפרמנט</t>
        </is>
      </c>
      <c r="C16" s="11" t="inlineStr">
        <is>
          <t>1. Foundations</t>
        </is>
      </c>
      <c r="D16" s="11" t="inlineStr">
        <is>
          <t>נמוכה</t>
        </is>
      </c>
      <c r="E16" s="11" t="n">
        <v>2</v>
      </c>
      <c r="F16" s="11" t="inlineStr"/>
    </row>
    <row r="17">
      <c r="A17" s="11" t="n">
        <v>14</v>
      </c>
      <c r="B17" s="12" t="inlineStr">
        <is>
          <t>קריטריונים כלליים להפרעת אישיות</t>
        </is>
      </c>
      <c r="C17" s="11" t="inlineStr">
        <is>
          <t>1. Foundations</t>
        </is>
      </c>
      <c r="D17" s="11" t="inlineStr">
        <is>
          <t>בינונית</t>
        </is>
      </c>
      <c r="E17" s="11" t="n">
        <v>2</v>
      </c>
      <c r="F17" s="11" t="inlineStr"/>
    </row>
    <row r="18">
      <c r="A18" s="11" t="n">
        <v>15</v>
      </c>
      <c r="B18" s="12" t="inlineStr">
        <is>
          <t>מצב רוח, אפקט, טמפרמנט — הערכה קלינית</t>
        </is>
      </c>
      <c r="C18" s="11" t="inlineStr">
        <is>
          <t>1. Foundations</t>
        </is>
      </c>
      <c r="D18" s="11" t="inlineStr">
        <is>
          <t>נמוכה</t>
        </is>
      </c>
      <c r="E18" s="11" t="n">
        <v>2</v>
      </c>
      <c r="F18" s="11" t="inlineStr"/>
    </row>
    <row r="19">
      <c r="A19" s="11" t="n">
        <v>16</v>
      </c>
      <c r="B19" s="12" t="inlineStr">
        <is>
          <t>עקרונות פסיכופרמקולוגיה בילדים ובמתבגרים</t>
        </is>
      </c>
      <c r="C19" s="11" t="inlineStr">
        <is>
          <t>1. Foundations</t>
        </is>
      </c>
      <c r="D19" s="11" t="inlineStr">
        <is>
          <t>גבוהה</t>
        </is>
      </c>
      <c r="E19" s="11" t="n">
        <v>2</v>
      </c>
      <c r="F19" s="11" t="inlineStr"/>
    </row>
    <row r="20">
      <c r="A20" s="11" t="n">
        <v>17</v>
      </c>
      <c r="B20" s="12" t="inlineStr">
        <is>
          <t>הפרעת קשב וריכוז (ADHD) — ליבה</t>
        </is>
      </c>
      <c r="C20" s="11" t="inlineStr">
        <is>
          <t>2. Neurodevelopmental</t>
        </is>
      </c>
      <c r="D20" s="11" t="inlineStr">
        <is>
          <t>גבוהה</t>
        </is>
      </c>
      <c r="E20" s="11" t="n">
        <v>2</v>
      </c>
      <c r="F20" s="11" t="inlineStr"/>
    </row>
    <row r="21">
      <c r="A21" s="11" t="n">
        <v>18</v>
      </c>
      <c r="B21" s="12" t="inlineStr">
        <is>
          <t>טיפול ב-ADHD: סטימולנטים</t>
        </is>
      </c>
      <c r="C21" s="11" t="inlineStr">
        <is>
          <t>2. Neurodevelopmental</t>
        </is>
      </c>
      <c r="D21" s="11" t="inlineStr">
        <is>
          <t>גבוהה</t>
        </is>
      </c>
      <c r="E21" s="11" t="n">
        <v>2</v>
      </c>
      <c r="F21" s="11" t="inlineStr"/>
    </row>
    <row r="22">
      <c r="A22" s="11" t="n">
        <v>19</v>
      </c>
      <c r="B22" s="12" t="inlineStr">
        <is>
          <t>טיפול ב-ADHD: לא-סטימולנטים</t>
        </is>
      </c>
      <c r="C22" s="11" t="inlineStr">
        <is>
          <t>2. Neurodevelopmental</t>
        </is>
      </c>
      <c r="D22" s="11" t="inlineStr">
        <is>
          <t>בינונית</t>
        </is>
      </c>
      <c r="E22" s="11" t="n">
        <v>2</v>
      </c>
      <c r="F22" s="11" t="inlineStr"/>
    </row>
    <row r="23">
      <c r="A23" s="11" t="n">
        <v>20</v>
      </c>
      <c r="B23" s="12" t="inlineStr">
        <is>
          <t>הפרעה אוטיסטית (ASD)</t>
        </is>
      </c>
      <c r="C23" s="11" t="inlineStr">
        <is>
          <t>2. Neurodevelopmental</t>
        </is>
      </c>
      <c r="D23" s="11" t="inlineStr">
        <is>
          <t>גבוהה</t>
        </is>
      </c>
      <c r="E23" s="11" t="n">
        <v>2</v>
      </c>
      <c r="F23" s="11" t="inlineStr"/>
    </row>
    <row r="24">
      <c r="A24" s="11" t="n">
        <v>21</v>
      </c>
      <c r="B24" s="12" t="inlineStr">
        <is>
          <t>מוגבלות שכלית התפתחותית</t>
        </is>
      </c>
      <c r="C24" s="11" t="inlineStr">
        <is>
          <t>2. Neurodevelopmental</t>
        </is>
      </c>
      <c r="D24" s="11" t="inlineStr">
        <is>
          <t>גבוהה</t>
        </is>
      </c>
      <c r="E24" s="11" t="n">
        <v>3</v>
      </c>
      <c r="F24" s="11" t="inlineStr"/>
    </row>
    <row r="25">
      <c r="A25" s="11" t="n">
        <v>22</v>
      </c>
      <c r="B25" s="12" t="inlineStr">
        <is>
          <t>הפרעות למידה ספציפיות (SLD)</t>
        </is>
      </c>
      <c r="C25" s="11" t="inlineStr">
        <is>
          <t>2. Neurodevelopmental</t>
        </is>
      </c>
      <c r="D25" s="11" t="inlineStr">
        <is>
          <t>בינונית</t>
        </is>
      </c>
      <c r="E25" s="11" t="n">
        <v>3</v>
      </c>
      <c r="F25" s="11" t="inlineStr"/>
    </row>
    <row r="26">
      <c r="A26" s="11" t="n">
        <v>23</v>
      </c>
      <c r="B26" s="12" t="inlineStr">
        <is>
          <t>הפרעות תקשורת (שפה, הפקת דיבור, גמגום, פרגמטי)</t>
        </is>
      </c>
      <c r="C26" s="11" t="inlineStr">
        <is>
          <t>2. Neurodevelopmental</t>
        </is>
      </c>
      <c r="D26" s="11" t="inlineStr">
        <is>
          <t>בינונית</t>
        </is>
      </c>
      <c r="E26" s="11" t="n">
        <v>3</v>
      </c>
      <c r="F26" s="11" t="inlineStr"/>
    </row>
    <row r="27">
      <c r="A27" s="11" t="n">
        <v>24</v>
      </c>
      <c r="B27" s="12" t="inlineStr">
        <is>
          <t>הפרעות טיקים ותסמונת טורט</t>
        </is>
      </c>
      <c r="C27" s="11" t="inlineStr">
        <is>
          <t>2. Neurodevelopmental</t>
        </is>
      </c>
      <c r="D27" s="11" t="inlineStr">
        <is>
          <t>בינונית</t>
        </is>
      </c>
      <c r="E27" s="11" t="n">
        <v>3</v>
      </c>
      <c r="F27" s="11" t="inlineStr"/>
    </row>
    <row r="28">
      <c r="A28" s="11" t="n">
        <v>25</v>
      </c>
      <c r="B28" s="12" t="inlineStr">
        <is>
          <t>הפרעות תנועה סטראוטיפיות + Dyspraxia</t>
        </is>
      </c>
      <c r="C28" s="11" t="inlineStr">
        <is>
          <t>2. Neurodevelopmental</t>
        </is>
      </c>
      <c r="D28" s="11" t="inlineStr">
        <is>
          <t>נמוכה</t>
        </is>
      </c>
      <c r="E28" s="11" t="n">
        <v>3</v>
      </c>
      <c r="F28" s="11" t="inlineStr"/>
    </row>
    <row r="29">
      <c r="A29" s="11" t="n">
        <v>26</v>
      </c>
      <c r="B29" s="12" t="inlineStr">
        <is>
          <t>ID — Down + Fragile X</t>
        </is>
      </c>
      <c r="C29" s="11" t="inlineStr">
        <is>
          <t>2. Neurodevelopmental</t>
        </is>
      </c>
      <c r="D29" s="11" t="inlineStr">
        <is>
          <t>בינונית</t>
        </is>
      </c>
      <c r="E29" s="11" t="n">
        <v>3</v>
      </c>
      <c r="F29" s="11" t="inlineStr"/>
    </row>
    <row r="30">
      <c r="A30" s="11" t="n">
        <v>27</v>
      </c>
      <c r="B30" s="12" t="inlineStr">
        <is>
          <t>הפרעות נוירו-התפתחותיות נוספות</t>
        </is>
      </c>
      <c r="C30" s="11" t="inlineStr">
        <is>
          <t>2. Neurodevelopmental</t>
        </is>
      </c>
      <c r="D30" s="11" t="inlineStr">
        <is>
          <t>בינונית</t>
        </is>
      </c>
      <c r="E30" s="11" t="n">
        <v>3</v>
      </c>
      <c r="F30" s="11" t="inlineStr"/>
    </row>
    <row r="31">
      <c r="A31" s="11" t="n">
        <v>28</v>
      </c>
      <c r="B31" s="12" t="inlineStr">
        <is>
          <t>הפרעת דיכאון מז'ורית (MDD)</t>
        </is>
      </c>
      <c r="C31" s="11" t="inlineStr">
        <is>
          <t>3. Mood and Anxiety</t>
        </is>
      </c>
      <c r="D31" s="11" t="inlineStr">
        <is>
          <t>גבוהה</t>
        </is>
      </c>
      <c r="E31" s="11" t="n">
        <v>3</v>
      </c>
      <c r="F31" s="11" t="inlineStr"/>
    </row>
    <row r="32">
      <c r="A32" s="11" t="n">
        <v>29</v>
      </c>
      <c r="B32" s="12" t="inlineStr">
        <is>
          <t>SSRI לעומק</t>
        </is>
      </c>
      <c r="C32" s="11" t="inlineStr">
        <is>
          <t>3. Mood and Anxiety</t>
        </is>
      </c>
      <c r="D32" s="11" t="inlineStr">
        <is>
          <t>גבוהה</t>
        </is>
      </c>
      <c r="E32" s="11" t="n">
        <v>3</v>
      </c>
      <c r="F32" s="11" t="inlineStr"/>
    </row>
    <row r="33">
      <c r="A33" s="11" t="n">
        <v>30</v>
      </c>
      <c r="B33" s="12" t="inlineStr">
        <is>
          <t>SNRI + נוגדי דיכאון אטיפיים</t>
        </is>
      </c>
      <c r="C33" s="11" t="inlineStr">
        <is>
          <t>3. Mood and Anxiety</t>
        </is>
      </c>
      <c r="D33" s="11" t="inlineStr">
        <is>
          <t>גבוהה</t>
        </is>
      </c>
      <c r="E33" s="11" t="n">
        <v>3</v>
      </c>
      <c r="F33" s="11" t="inlineStr"/>
    </row>
    <row r="34">
      <c r="A34" s="11" t="n">
        <v>31</v>
      </c>
      <c r="B34" s="12" t="inlineStr">
        <is>
          <t>TCA + MAOI</t>
        </is>
      </c>
      <c r="C34" s="11" t="inlineStr">
        <is>
          <t>3. Mood and Anxiety</t>
        </is>
      </c>
      <c r="D34" s="11" t="inlineStr">
        <is>
          <t>בינונית</t>
        </is>
      </c>
      <c r="E34" s="11" t="n">
        <v>4</v>
      </c>
      <c r="F34" s="11" t="inlineStr"/>
    </row>
    <row r="35">
      <c r="A35" s="11" t="n">
        <v>32</v>
      </c>
      <c r="B35" s="12" t="inlineStr">
        <is>
          <t>PDD + DMDD + PMDD</t>
        </is>
      </c>
      <c r="C35" s="11" t="inlineStr">
        <is>
          <t>3. Mood and Anxiety</t>
        </is>
      </c>
      <c r="D35" s="11" t="inlineStr">
        <is>
          <t>בינונית</t>
        </is>
      </c>
      <c r="E35" s="11" t="n">
        <v>4</v>
      </c>
      <c r="F35" s="11" t="inlineStr"/>
    </row>
    <row r="36">
      <c r="A36" s="11" t="n">
        <v>33</v>
      </c>
      <c r="B36" s="12" t="inlineStr">
        <is>
          <t>הפרעה דו-קוטבית I</t>
        </is>
      </c>
      <c r="C36" s="11" t="inlineStr">
        <is>
          <t>3. Mood and Anxiety</t>
        </is>
      </c>
      <c r="D36" s="11" t="inlineStr">
        <is>
          <t>גבוהה</t>
        </is>
      </c>
      <c r="E36" s="11" t="n">
        <v>4</v>
      </c>
      <c r="F36" s="11" t="inlineStr"/>
    </row>
    <row r="37">
      <c r="A37" s="11" t="n">
        <v>34</v>
      </c>
      <c r="B37" s="12" t="inlineStr">
        <is>
          <t>Bipolar II + Cyclothymia + bipolar בילדים</t>
        </is>
      </c>
      <c r="C37" s="11" t="inlineStr">
        <is>
          <t>3. Mood and Anxiety</t>
        </is>
      </c>
      <c r="D37" s="11" t="inlineStr">
        <is>
          <t>בינונית</t>
        </is>
      </c>
      <c r="E37" s="11" t="n">
        <v>4</v>
      </c>
      <c r="F37" s="11" t="inlineStr"/>
    </row>
    <row r="38">
      <c r="A38" s="11" t="n">
        <v>35</v>
      </c>
      <c r="B38" s="12" t="inlineStr">
        <is>
          <t>ליתיום</t>
        </is>
      </c>
      <c r="C38" s="11" t="inlineStr">
        <is>
          <t>3. Mood and Anxiety</t>
        </is>
      </c>
      <c r="D38" s="11" t="inlineStr">
        <is>
          <t>גבוהה</t>
        </is>
      </c>
      <c r="E38" s="11" t="n">
        <v>4</v>
      </c>
      <c r="F38" s="11" t="inlineStr"/>
    </row>
    <row r="39">
      <c r="A39" s="11" t="n">
        <v>36</v>
      </c>
      <c r="B39" s="12" t="inlineStr">
        <is>
          <t>מייצבי מצב רוח: Valproate, Lamotrigine, Carbamazepine</t>
        </is>
      </c>
      <c r="C39" s="11" t="inlineStr">
        <is>
          <t>3. Mood and Anxiety</t>
        </is>
      </c>
      <c r="D39" s="11" t="inlineStr">
        <is>
          <t>גבוהה</t>
        </is>
      </c>
      <c r="E39" s="11" t="n">
        <v>4</v>
      </c>
      <c r="F39" s="11" t="inlineStr"/>
    </row>
    <row r="40">
      <c r="A40" s="11" t="n">
        <v>37</v>
      </c>
      <c r="B40" s="12" t="inlineStr">
        <is>
          <t>ילדים: DMDD מול ביפולר; אובדנות נער</t>
        </is>
      </c>
      <c r="C40" s="11" t="inlineStr">
        <is>
          <t>3. Mood and Anxiety</t>
        </is>
      </c>
      <c r="D40" s="11" t="inlineStr">
        <is>
          <t>גבוהה</t>
        </is>
      </c>
      <c r="E40" s="11" t="n">
        <v>4</v>
      </c>
      <c r="F40" s="11" t="inlineStr"/>
    </row>
    <row r="41">
      <c r="A41" s="11" t="n">
        <v>38</v>
      </c>
      <c r="B41" s="12" t="inlineStr">
        <is>
          <t>הפרעת חרדה מוכללת (GAD)</t>
        </is>
      </c>
      <c r="C41" s="11" t="inlineStr">
        <is>
          <t>3. Mood and Anxiety</t>
        </is>
      </c>
      <c r="D41" s="11" t="inlineStr">
        <is>
          <t>בינונית</t>
        </is>
      </c>
      <c r="E41" s="11" t="n">
        <v>4</v>
      </c>
      <c r="F41" s="11" t="inlineStr"/>
    </row>
    <row r="42">
      <c r="A42" s="11" t="n">
        <v>39</v>
      </c>
      <c r="B42" s="12" t="inlineStr">
        <is>
          <t>הפרעת פאניקה + אגורופוביה</t>
        </is>
      </c>
      <c r="C42" s="11" t="inlineStr">
        <is>
          <t>3. Mood and Anxiety</t>
        </is>
      </c>
      <c r="D42" s="11" t="inlineStr">
        <is>
          <t>בינונית</t>
        </is>
      </c>
      <c r="E42" s="11" t="n">
        <v>4</v>
      </c>
      <c r="F42" s="11" t="inlineStr"/>
    </row>
    <row r="43">
      <c r="A43" s="11" t="n">
        <v>40</v>
      </c>
      <c r="B43" s="12" t="inlineStr">
        <is>
          <t>חרדה חברתית + Selective Mutism</t>
        </is>
      </c>
      <c r="C43" s="11" t="inlineStr">
        <is>
          <t>3. Mood and Anxiety</t>
        </is>
      </c>
      <c r="D43" s="11" t="inlineStr">
        <is>
          <t>נמוכה</t>
        </is>
      </c>
      <c r="E43" s="11" t="n">
        <v>4</v>
      </c>
      <c r="F43" s="11" t="inlineStr"/>
    </row>
    <row r="44">
      <c r="A44" s="11" t="n">
        <v>41</v>
      </c>
      <c r="B44" s="12" t="inlineStr">
        <is>
          <t>חרדת פרידה + פוביה ספציפית</t>
        </is>
      </c>
      <c r="C44" s="11" t="inlineStr">
        <is>
          <t>3. Mood and Anxiety</t>
        </is>
      </c>
      <c r="D44" s="11" t="inlineStr">
        <is>
          <t>נמוכה</t>
        </is>
      </c>
      <c r="E44" s="11" t="n">
        <v>5</v>
      </c>
      <c r="F44" s="11" t="inlineStr"/>
    </row>
    <row r="45">
      <c r="A45" s="11" t="n">
        <v>42</v>
      </c>
      <c r="B45" s="12" t="inlineStr">
        <is>
          <t>BZD + Buspirone + סקירת אנקסיוליטים</t>
        </is>
      </c>
      <c r="C45" s="11" t="inlineStr">
        <is>
          <t>3. Mood and Anxiety</t>
        </is>
      </c>
      <c r="D45" s="11" t="inlineStr">
        <is>
          <t>גבוהה</t>
        </is>
      </c>
      <c r="E45" s="11" t="n">
        <v>5</v>
      </c>
      <c r="F45" s="11" t="inlineStr"/>
    </row>
    <row r="46">
      <c r="A46" s="11" t="n">
        <v>43</v>
      </c>
      <c r="B46" s="12" t="inlineStr">
        <is>
          <t>OCD — ליבה</t>
        </is>
      </c>
      <c r="C46" s="11" t="inlineStr">
        <is>
          <t>4. OCD and Trauma</t>
        </is>
      </c>
      <c r="D46" s="11" t="inlineStr">
        <is>
          <t>גבוהה</t>
        </is>
      </c>
      <c r="E46" s="11" t="n">
        <v>5</v>
      </c>
      <c r="F46" s="11" t="inlineStr"/>
    </row>
    <row r="47">
      <c r="A47" s="11" t="n">
        <v>44</v>
      </c>
      <c r="B47" s="12" t="inlineStr">
        <is>
          <t>טיפול ב-OCD: ERP + SSRI מינון גבוה</t>
        </is>
      </c>
      <c r="C47" s="11" t="inlineStr">
        <is>
          <t>4. OCD and Trauma</t>
        </is>
      </c>
      <c r="D47" s="11" t="inlineStr">
        <is>
          <t>בינונית</t>
        </is>
      </c>
      <c r="E47" s="11" t="n">
        <v>5</v>
      </c>
      <c r="F47" s="11" t="inlineStr"/>
    </row>
    <row r="48">
      <c r="A48" s="11" t="n">
        <v>45</v>
      </c>
      <c r="B48" s="12" t="inlineStr">
        <is>
          <t>BDD + Hoarding</t>
        </is>
      </c>
      <c r="C48" s="11" t="inlineStr">
        <is>
          <t>4. OCD and Trauma</t>
        </is>
      </c>
      <c r="D48" s="11" t="inlineStr">
        <is>
          <t>נמוכה</t>
        </is>
      </c>
      <c r="E48" s="11" t="n">
        <v>5</v>
      </c>
      <c r="F48" s="11" t="inlineStr"/>
    </row>
    <row r="49">
      <c r="A49" s="11" t="n">
        <v>46</v>
      </c>
      <c r="B49" s="12" t="inlineStr">
        <is>
          <t>Trichotillomania + Excoriation</t>
        </is>
      </c>
      <c r="C49" s="11" t="inlineStr">
        <is>
          <t>4. OCD and Trauma</t>
        </is>
      </c>
      <c r="D49" s="11" t="inlineStr">
        <is>
          <t>נמוכה</t>
        </is>
      </c>
      <c r="E49" s="11" t="n">
        <v>5</v>
      </c>
      <c r="F49" s="11" t="inlineStr"/>
    </row>
    <row r="50">
      <c r="A50" s="11" t="n">
        <v>47</v>
      </c>
      <c r="B50" s="12" t="inlineStr">
        <is>
          <t>PTSD — ליבה</t>
        </is>
      </c>
      <c r="C50" s="11" t="inlineStr">
        <is>
          <t>4. OCD and Trauma</t>
        </is>
      </c>
      <c r="D50" s="11" t="inlineStr">
        <is>
          <t>גבוהה</t>
        </is>
      </c>
      <c r="E50" s="11" t="n">
        <v>5</v>
      </c>
      <c r="F50" s="11" t="inlineStr"/>
    </row>
    <row r="51">
      <c r="A51" s="11" t="n">
        <v>48</v>
      </c>
      <c r="B51" s="12" t="inlineStr">
        <is>
          <t>טיפול ב-PTSD: Prazosin, SSRI, TF-CBT, EMDR</t>
        </is>
      </c>
      <c r="C51" s="11" t="inlineStr">
        <is>
          <t>4. OCD and Trauma</t>
        </is>
      </c>
      <c r="D51" s="11" t="inlineStr">
        <is>
          <t>בינונית</t>
        </is>
      </c>
      <c r="E51" s="11" t="n">
        <v>5</v>
      </c>
      <c r="F51" s="11" t="inlineStr"/>
    </row>
    <row r="52">
      <c r="A52" s="11" t="n">
        <v>49</v>
      </c>
      <c r="B52" s="12" t="inlineStr">
        <is>
          <t>תגובת לחץ חריפה + הפרעת הסתגלות</t>
        </is>
      </c>
      <c r="C52" s="11" t="inlineStr">
        <is>
          <t>4. OCD and Trauma</t>
        </is>
      </c>
      <c r="D52" s="11" t="inlineStr">
        <is>
          <t>נמוכה</t>
        </is>
      </c>
      <c r="E52" s="11" t="n">
        <v>5</v>
      </c>
      <c r="F52" s="11" t="inlineStr"/>
    </row>
    <row r="53">
      <c r="A53" s="11" t="n">
        <v>50</v>
      </c>
      <c r="B53" s="12" t="inlineStr">
        <is>
          <t>אבל, שכול והפרעת אבל ממושך</t>
        </is>
      </c>
      <c r="C53" s="11" t="inlineStr">
        <is>
          <t>4. OCD and Trauma</t>
        </is>
      </c>
      <c r="D53" s="11" t="inlineStr">
        <is>
          <t>בינונית</t>
        </is>
      </c>
      <c r="E53" s="11" t="n">
        <v>5</v>
      </c>
      <c r="F53" s="11" t="inlineStr"/>
    </row>
    <row r="54">
      <c r="A54" s="11" t="n">
        <v>51</v>
      </c>
      <c r="B54" s="12" t="inlineStr">
        <is>
          <t>התעללות והזנחה בילדים</t>
        </is>
      </c>
      <c r="C54" s="11" t="inlineStr">
        <is>
          <t>4. OCD and Trauma</t>
        </is>
      </c>
      <c r="D54" s="11" t="inlineStr">
        <is>
          <t>גבוהה</t>
        </is>
      </c>
      <c r="E54" s="11" t="n">
        <v>5</v>
      </c>
      <c r="F54" s="11" t="inlineStr"/>
    </row>
    <row r="55">
      <c r="A55" s="11" t="n">
        <v>52</v>
      </c>
      <c r="B55" s="12" t="inlineStr">
        <is>
          <t>RAD + DSED</t>
        </is>
      </c>
      <c r="C55" s="11" t="inlineStr">
        <is>
          <t>4. OCD and Trauma</t>
        </is>
      </c>
      <c r="D55" s="11" t="inlineStr">
        <is>
          <t>נמוכה</t>
        </is>
      </c>
      <c r="E55" s="11" t="n">
        <v>6</v>
      </c>
      <c r="F55" s="11" t="inlineStr"/>
    </row>
    <row r="56">
      <c r="A56" s="11" t="n">
        <v>53</v>
      </c>
      <c r="B56" s="12" t="inlineStr">
        <is>
          <t>הפרעות דיסוציאטיביות</t>
        </is>
      </c>
      <c r="C56" s="11" t="inlineStr">
        <is>
          <t>4. OCD and Trauma</t>
        </is>
      </c>
      <c r="D56" s="11" t="inlineStr">
        <is>
          <t>נמוכה</t>
        </is>
      </c>
      <c r="E56" s="11" t="n">
        <v>6</v>
      </c>
      <c r="F56" s="11" t="inlineStr"/>
    </row>
    <row r="57">
      <c r="A57" s="11" t="n">
        <v>54</v>
      </c>
      <c r="B57" s="12" t="inlineStr">
        <is>
          <t>הפרעות סומטיות + Conversion + Factitious</t>
        </is>
      </c>
      <c r="C57" s="11" t="inlineStr">
        <is>
          <t>4. OCD and Trauma</t>
        </is>
      </c>
      <c r="D57" s="11" t="inlineStr">
        <is>
          <t>בינונית</t>
        </is>
      </c>
      <c r="E57" s="11" t="n">
        <v>6</v>
      </c>
      <c r="F57" s="11" t="inlineStr"/>
    </row>
    <row r="58">
      <c r="A58" s="11" t="n">
        <v>55</v>
      </c>
      <c r="B58" s="12" t="inlineStr">
        <is>
          <t>סכיזופרניה — ליבה</t>
        </is>
      </c>
      <c r="C58" s="11" t="inlineStr">
        <is>
          <t>5. Psychosis and Antipsychotics</t>
        </is>
      </c>
      <c r="D58" s="11" t="inlineStr">
        <is>
          <t>גבוהה</t>
        </is>
      </c>
      <c r="E58" s="11" t="n">
        <v>6</v>
      </c>
      <c r="F58" s="11" t="inlineStr"/>
    </row>
    <row r="59">
      <c r="A59" s="11" t="n">
        <v>56</v>
      </c>
      <c r="B59" s="12" t="inlineStr">
        <is>
          <t>ניורוביולוגיה של סכיזופרניה</t>
        </is>
      </c>
      <c r="C59" s="11" t="inlineStr">
        <is>
          <t>5. Psychosis and Antipsychotics</t>
        </is>
      </c>
      <c r="D59" s="11" t="inlineStr">
        <is>
          <t>גבוהה</t>
        </is>
      </c>
      <c r="E59" s="11" t="n">
        <v>6</v>
      </c>
      <c r="F59" s="11" t="inlineStr"/>
    </row>
    <row r="60">
      <c r="A60" s="11" t="n">
        <v>57</v>
      </c>
      <c r="B60" s="12" t="inlineStr">
        <is>
          <t>Schizoaffective + Schizophreniform + Brief Psychotic + Delusional</t>
        </is>
      </c>
      <c r="C60" s="11" t="inlineStr">
        <is>
          <t>5. Psychosis and Antipsychotics</t>
        </is>
      </c>
      <c r="D60" s="11" t="inlineStr">
        <is>
          <t>בינונית</t>
        </is>
      </c>
      <c r="E60" s="11" t="n">
        <v>6</v>
      </c>
      <c r="F60" s="11" t="inlineStr"/>
    </row>
    <row r="61">
      <c r="A61" s="11" t="n">
        <v>58</v>
      </c>
      <c r="B61" s="12" t="inlineStr">
        <is>
          <t>אנטיפסיכוטיים דור ראשון (FGA)</t>
        </is>
      </c>
      <c r="C61" s="11" t="inlineStr">
        <is>
          <t>5. Psychosis and Antipsychotics</t>
        </is>
      </c>
      <c r="D61" s="11" t="inlineStr">
        <is>
          <t>גבוהה</t>
        </is>
      </c>
      <c r="E61" s="11" t="n">
        <v>6</v>
      </c>
      <c r="F61" s="11" t="inlineStr"/>
    </row>
    <row r="62">
      <c r="A62" s="11" t="n">
        <v>59</v>
      </c>
      <c r="B62" s="12" t="inlineStr">
        <is>
          <t>אנטיפסיכוטיים דור שני (SGA)</t>
        </is>
      </c>
      <c r="C62" s="11" t="inlineStr">
        <is>
          <t>5. Psychosis and Antipsychotics</t>
        </is>
      </c>
      <c r="D62" s="11" t="inlineStr">
        <is>
          <t>גבוהה</t>
        </is>
      </c>
      <c r="E62" s="11" t="n">
        <v>6</v>
      </c>
      <c r="F62" s="11" t="inlineStr"/>
    </row>
    <row r="63">
      <c r="A63" s="11" t="n">
        <v>60</v>
      </c>
      <c r="B63" s="12" t="inlineStr">
        <is>
          <t>Clozapine — קלוזפין לעמיד לטיפול</t>
        </is>
      </c>
      <c r="C63" s="11" t="inlineStr">
        <is>
          <t>5. Psychosis and Antipsychotics</t>
        </is>
      </c>
      <c r="D63" s="11" t="inlineStr">
        <is>
          <t>גבוהה</t>
        </is>
      </c>
      <c r="E63" s="11" t="n">
        <v>6</v>
      </c>
      <c r="F63" s="11" t="inlineStr"/>
    </row>
    <row r="64">
      <c r="A64" s="11" t="n">
        <v>61</v>
      </c>
      <c r="B64" s="12" t="inlineStr">
        <is>
          <t>אגוניסטים חלקיים: Aripiprazole, Brexpiprazole, Cariprazine</t>
        </is>
      </c>
      <c r="C64" s="11" t="inlineStr">
        <is>
          <t>5. Psychosis and Antipsychotics</t>
        </is>
      </c>
      <c r="D64" s="11" t="inlineStr">
        <is>
          <t>בינונית</t>
        </is>
      </c>
      <c r="E64" s="11" t="n">
        <v>6</v>
      </c>
      <c r="F64" s="11" t="inlineStr"/>
    </row>
    <row r="65">
      <c r="A65" s="11" t="n">
        <v>62</v>
      </c>
      <c r="B65" s="12" t="inlineStr">
        <is>
          <t>SGA מטבוליים: Olanzapine, Quetiapine, Risperidone</t>
        </is>
      </c>
      <c r="C65" s="11" t="inlineStr">
        <is>
          <t>5. Psychosis and Antipsychotics</t>
        </is>
      </c>
      <c r="D65" s="11" t="inlineStr">
        <is>
          <t>בינונית</t>
        </is>
      </c>
      <c r="E65" s="11" t="n">
        <v>7</v>
      </c>
      <c r="F65" s="11" t="inlineStr"/>
    </row>
    <row r="66">
      <c r="A66" s="11" t="n">
        <v>63</v>
      </c>
      <c r="B66" s="12" t="inlineStr">
        <is>
          <t>SGA לא-מטבוליים: Lurasidone, Ziprasidone, Lumateperone</t>
        </is>
      </c>
      <c r="C66" s="11" t="inlineStr">
        <is>
          <t>5. Psychosis and Antipsychotics</t>
        </is>
      </c>
      <c r="D66" s="11" t="inlineStr">
        <is>
          <t>בינונית</t>
        </is>
      </c>
      <c r="E66" s="11" t="n">
        <v>7</v>
      </c>
      <c r="F66" s="11" t="inlineStr"/>
    </row>
    <row r="67">
      <c r="A67" s="11" t="n">
        <v>64</v>
      </c>
      <c r="B67" s="12" t="inlineStr">
        <is>
          <t>זריקות אנטיפסיכוטיות ארוכות-טווח (LAI)</t>
        </is>
      </c>
      <c r="C67" s="11" t="inlineStr">
        <is>
          <t>5. Psychosis and Antipsychotics</t>
        </is>
      </c>
      <c r="D67" s="11" t="inlineStr">
        <is>
          <t>בינונית</t>
        </is>
      </c>
      <c r="E67" s="11" t="n">
        <v>7</v>
      </c>
      <c r="F67" s="11" t="inlineStr"/>
    </row>
    <row r="68">
      <c r="A68" s="11" t="n">
        <v>65</v>
      </c>
      <c r="B68" s="12" t="inlineStr">
        <is>
          <t>EPS: דיסטוניה, אקתיזיה, פרקינסוניזם</t>
        </is>
      </c>
      <c r="C68" s="11" t="inlineStr">
        <is>
          <t>5. Psychosis and Antipsychotics</t>
        </is>
      </c>
      <c r="D68" s="11" t="inlineStr">
        <is>
          <t>גבוהה</t>
        </is>
      </c>
      <c r="E68" s="11" t="n">
        <v>7</v>
      </c>
      <c r="F68" s="11" t="inlineStr"/>
    </row>
    <row r="69">
      <c r="A69" s="11" t="n">
        <v>66</v>
      </c>
      <c r="B69" s="12" t="inlineStr">
        <is>
          <t>Tardive Dyskinesia + מעכבי VMAT2</t>
        </is>
      </c>
      <c r="C69" s="11" t="inlineStr">
        <is>
          <t>5. Psychosis and Antipsychotics</t>
        </is>
      </c>
      <c r="D69" s="11" t="inlineStr">
        <is>
          <t>בינונית</t>
        </is>
      </c>
      <c r="E69" s="11" t="n">
        <v>7</v>
      </c>
      <c r="F69" s="11" t="inlineStr"/>
    </row>
    <row r="70">
      <c r="A70" s="11" t="n">
        <v>67</v>
      </c>
      <c r="B70" s="12" t="inlineStr">
        <is>
          <t>NMS — תסמונת ממאירה ניורולפטית</t>
        </is>
      </c>
      <c r="C70" s="11" t="inlineStr">
        <is>
          <t>5. Psychosis and Antipsychotics</t>
        </is>
      </c>
      <c r="D70" s="11" t="inlineStr">
        <is>
          <t>גבוהה</t>
        </is>
      </c>
      <c r="E70" s="11" t="n">
        <v>7</v>
      </c>
      <c r="F70" s="11" t="inlineStr"/>
    </row>
    <row r="71">
      <c r="A71" s="11" t="n">
        <v>68</v>
      </c>
      <c r="B71" s="12" t="inlineStr">
        <is>
          <t>קטטוניה</t>
        </is>
      </c>
      <c r="C71" s="11" t="inlineStr">
        <is>
          <t>5. Psychosis and Antipsychotics</t>
        </is>
      </c>
      <c r="D71" s="11" t="inlineStr">
        <is>
          <t>בינונית</t>
        </is>
      </c>
      <c r="E71" s="11" t="n">
        <v>7</v>
      </c>
      <c r="F71" s="11" t="inlineStr"/>
    </row>
    <row r="72">
      <c r="A72" s="11" t="n">
        <v>69</v>
      </c>
      <c r="B72" s="12" t="inlineStr">
        <is>
          <t>ניהול פסיכוזה חריפה במיון</t>
        </is>
      </c>
      <c r="C72" s="11" t="inlineStr">
        <is>
          <t>5. Psychosis and Antipsychotics</t>
        </is>
      </c>
      <c r="D72" s="11" t="inlineStr">
        <is>
          <t>בינונית</t>
        </is>
      </c>
      <c r="E72" s="11" t="n">
        <v>7</v>
      </c>
      <c r="F72" s="11" t="inlineStr"/>
    </row>
    <row r="73">
      <c r="A73" s="11" t="n">
        <v>70</v>
      </c>
      <c r="B73" s="12" t="inlineStr">
        <is>
          <t>ECT וטיפולים סומטיים אחרים</t>
        </is>
      </c>
      <c r="C73" s="11" t="inlineStr">
        <is>
          <t>5. Psychosis and Antipsychotics</t>
        </is>
      </c>
      <c r="D73" s="11" t="inlineStr">
        <is>
          <t>בינונית</t>
        </is>
      </c>
      <c r="E73" s="11" t="n">
        <v>7</v>
      </c>
      <c r="F73" s="11" t="inlineStr"/>
    </row>
    <row r="74">
      <c r="A74" s="11" t="n">
        <v>71</v>
      </c>
      <c r="B74" s="12" t="inlineStr">
        <is>
          <t>נדודי שינה + CBT-I</t>
        </is>
      </c>
      <c r="C74" s="11" t="inlineStr">
        <is>
          <t>6. Sleep, Eating, Elimination</t>
        </is>
      </c>
      <c r="D74" s="11" t="inlineStr">
        <is>
          <t>בינונית</t>
        </is>
      </c>
      <c r="E74" s="11" t="n">
        <v>8</v>
      </c>
      <c r="F74" s="11" t="inlineStr"/>
    </row>
    <row r="75">
      <c r="A75" s="11" t="n">
        <v>72</v>
      </c>
      <c r="B75" s="12" t="inlineStr">
        <is>
          <t>תרופות שינה</t>
        </is>
      </c>
      <c r="C75" s="11" t="inlineStr">
        <is>
          <t>6. Sleep, Eating, Elimination</t>
        </is>
      </c>
      <c r="D75" s="11" t="inlineStr">
        <is>
          <t>בינונית</t>
        </is>
      </c>
      <c r="E75" s="11" t="n">
        <v>8</v>
      </c>
      <c r="F75" s="11" t="inlineStr"/>
    </row>
    <row r="76">
      <c r="A76" s="11" t="n">
        <v>73</v>
      </c>
      <c r="B76" s="12" t="inlineStr">
        <is>
          <t>נרקולפסיה + Pitolisant</t>
        </is>
      </c>
      <c r="C76" s="11" t="inlineStr">
        <is>
          <t>6. Sleep, Eating, Elimination</t>
        </is>
      </c>
      <c r="D76" s="11" t="inlineStr">
        <is>
          <t>נמוכה</t>
        </is>
      </c>
      <c r="E76" s="11" t="n">
        <v>8</v>
      </c>
      <c r="F76" s="11" t="inlineStr"/>
    </row>
    <row r="77">
      <c r="A77" s="11" t="n">
        <v>74</v>
      </c>
      <c r="B77" s="12" t="inlineStr">
        <is>
          <t>פרסומניות + תסמונת רגליים חסרות מנוחה</t>
        </is>
      </c>
      <c r="C77" s="11" t="inlineStr">
        <is>
          <t>6. Sleep, Eating, Elimination</t>
        </is>
      </c>
      <c r="D77" s="11" t="inlineStr">
        <is>
          <t>נמוכה</t>
        </is>
      </c>
      <c r="E77" s="11" t="n">
        <v>8</v>
      </c>
      <c r="F77" s="11" t="inlineStr"/>
    </row>
    <row r="78">
      <c r="A78" s="11" t="n">
        <v>75</v>
      </c>
      <c r="B78" s="12" t="inlineStr">
        <is>
          <t>Anorexia Nervosa</t>
        </is>
      </c>
      <c r="C78" s="11" t="inlineStr">
        <is>
          <t>6. Sleep, Eating, Elimination</t>
        </is>
      </c>
      <c r="D78" s="11" t="inlineStr">
        <is>
          <t>גבוהה</t>
        </is>
      </c>
      <c r="E78" s="11" t="n">
        <v>8</v>
      </c>
      <c r="F78" s="11" t="inlineStr"/>
    </row>
    <row r="79">
      <c r="A79" s="11" t="n">
        <v>76</v>
      </c>
      <c r="B79" s="12" t="inlineStr">
        <is>
          <t>Bulimia Nervosa + Binge Eating Disorder</t>
        </is>
      </c>
      <c r="C79" s="11" t="inlineStr">
        <is>
          <t>6. Sleep, Eating, Elimination</t>
        </is>
      </c>
      <c r="D79" s="11" t="inlineStr">
        <is>
          <t>בינונית</t>
        </is>
      </c>
      <c r="E79" s="11" t="n">
        <v>8</v>
      </c>
      <c r="F79" s="11" t="inlineStr"/>
    </row>
    <row r="80">
      <c r="A80" s="11" t="n">
        <v>77</v>
      </c>
      <c r="B80" s="12" t="inlineStr">
        <is>
          <t>ARFID + Pica + Rumination</t>
        </is>
      </c>
      <c r="C80" s="11" t="inlineStr">
        <is>
          <t>6. Sleep, Eating, Elimination</t>
        </is>
      </c>
      <c r="D80" s="11" t="inlineStr">
        <is>
          <t>נמוכה</t>
        </is>
      </c>
      <c r="E80" s="11" t="n">
        <v>8</v>
      </c>
      <c r="F80" s="11" t="inlineStr"/>
    </row>
    <row r="81">
      <c r="A81" s="11" t="n">
        <v>78</v>
      </c>
      <c r="B81" s="12" t="inlineStr">
        <is>
          <t>Enuresis + Encopresis</t>
        </is>
      </c>
      <c r="C81" s="11" t="inlineStr">
        <is>
          <t>6. Sleep, Eating, Elimination</t>
        </is>
      </c>
      <c r="D81" s="11" t="inlineStr">
        <is>
          <t>נמוכה</t>
        </is>
      </c>
      <c r="E81" s="11" t="n">
        <v>8</v>
      </c>
      <c r="F81" s="11" t="inlineStr"/>
    </row>
    <row r="82">
      <c r="A82" s="11" t="n">
        <v>79</v>
      </c>
      <c r="B82" s="12" t="inlineStr">
        <is>
          <t>התפתחות שינה בילדים + תזוזת מתבגרים</t>
        </is>
      </c>
      <c r="C82" s="11" t="inlineStr">
        <is>
          <t>6. Sleep, Eating, Elimination</t>
        </is>
      </c>
      <c r="D82" s="11" t="inlineStr">
        <is>
          <t>בינונית</t>
        </is>
      </c>
      <c r="E82" s="11" t="n">
        <v>8</v>
      </c>
      <c r="F82" s="11" t="inlineStr"/>
    </row>
    <row r="83">
      <c r="A83" s="11" t="n">
        <v>80</v>
      </c>
      <c r="B83" s="12" t="inlineStr">
        <is>
          <t>הפרעות אכילה: FBT + ייצוב רפואי</t>
        </is>
      </c>
      <c r="C83" s="11" t="inlineStr">
        <is>
          <t>6. Sleep, Eating, Elimination</t>
        </is>
      </c>
      <c r="D83" s="11" t="inlineStr">
        <is>
          <t>בינונית</t>
        </is>
      </c>
      <c r="E83" s="11" t="n">
        <v>8</v>
      </c>
      <c r="F83" s="11" t="inlineStr"/>
    </row>
    <row r="84">
      <c r="A84" s="11" t="n">
        <v>81</v>
      </c>
      <c r="B84" s="12" t="inlineStr">
        <is>
          <t>הפרעת שימוש באלכוהול + גמילה</t>
        </is>
      </c>
      <c r="C84" s="11" t="inlineStr">
        <is>
          <t>7. Substance Use</t>
        </is>
      </c>
      <c r="D84" s="11" t="inlineStr">
        <is>
          <t>גבוהה</t>
        </is>
      </c>
      <c r="E84" s="11" t="n">
        <v>9</v>
      </c>
      <c r="F84" s="11" t="inlineStr"/>
    </row>
    <row r="85">
      <c r="A85" s="11" t="n">
        <v>82</v>
      </c>
      <c r="B85" s="12" t="inlineStr">
        <is>
          <t>טיפול ב-AUD: Naltrexone, Acamprosate, Disulfiram</t>
        </is>
      </c>
      <c r="C85" s="11" t="inlineStr">
        <is>
          <t>7. Substance Use</t>
        </is>
      </c>
      <c r="D85" s="11" t="inlineStr">
        <is>
          <t>בינונית</t>
        </is>
      </c>
      <c r="E85" s="11" t="n">
        <v>9</v>
      </c>
      <c r="F85" s="11" t="inlineStr"/>
    </row>
    <row r="86">
      <c r="A86" s="11" t="n">
        <v>83</v>
      </c>
      <c r="B86" s="12" t="inlineStr">
        <is>
          <t>OUD + גמילה</t>
        </is>
      </c>
      <c r="C86" s="11" t="inlineStr">
        <is>
          <t>7. Substance Use</t>
        </is>
      </c>
      <c r="D86" s="11" t="inlineStr">
        <is>
          <t>בינונית</t>
        </is>
      </c>
      <c r="E86" s="11" t="n">
        <v>9</v>
      </c>
      <c r="F86" s="11" t="inlineStr"/>
    </row>
    <row r="87">
      <c r="A87" s="11" t="n">
        <v>84</v>
      </c>
      <c r="B87" s="12" t="inlineStr">
        <is>
          <t>טיפול ב-OUD: Methadone, Buprenorphine, Naltrexone, Naloxone</t>
        </is>
      </c>
      <c r="C87" s="11" t="inlineStr">
        <is>
          <t>7. Substance Use</t>
        </is>
      </c>
      <c r="D87" s="11" t="inlineStr">
        <is>
          <t>גבוהה</t>
        </is>
      </c>
      <c r="E87" s="11" t="n">
        <v>9</v>
      </c>
      <c r="F87" s="11" t="inlineStr"/>
    </row>
    <row r="88">
      <c r="A88" s="11" t="n">
        <v>85</v>
      </c>
      <c r="B88" s="12" t="inlineStr">
        <is>
          <t>הפרעת שימוש בסטימולנטים</t>
        </is>
      </c>
      <c r="C88" s="11" t="inlineStr">
        <is>
          <t>7. Substance Use</t>
        </is>
      </c>
      <c r="D88" s="11" t="inlineStr">
        <is>
          <t>בינונית</t>
        </is>
      </c>
      <c r="E88" s="11" t="n">
        <v>9</v>
      </c>
      <c r="F88" s="11" t="inlineStr"/>
    </row>
    <row r="89">
      <c r="A89" s="11" t="n">
        <v>86</v>
      </c>
      <c r="B89" s="12" t="inlineStr">
        <is>
          <t>הפרעת שימוש בקנאביס</t>
        </is>
      </c>
      <c r="C89" s="11" t="inlineStr">
        <is>
          <t>7. Substance Use</t>
        </is>
      </c>
      <c r="D89" s="11" t="inlineStr">
        <is>
          <t>בינונית</t>
        </is>
      </c>
      <c r="E89" s="11" t="n">
        <v>9</v>
      </c>
      <c r="F89" s="11" t="inlineStr"/>
    </row>
    <row r="90">
      <c r="A90" s="11" t="n">
        <v>87</v>
      </c>
      <c r="B90" s="12" t="inlineStr">
        <is>
          <t>גמילה מעישון: Varenicline, NRT, Bupropion</t>
        </is>
      </c>
      <c r="C90" s="11" t="inlineStr">
        <is>
          <t>7. Substance Use</t>
        </is>
      </c>
      <c r="D90" s="11" t="inlineStr">
        <is>
          <t>נמוכה</t>
        </is>
      </c>
      <c r="E90" s="11" t="n">
        <v>9</v>
      </c>
      <c r="F90" s="11" t="inlineStr"/>
    </row>
    <row r="91">
      <c r="A91" s="11" t="n">
        <v>88</v>
      </c>
      <c r="B91" s="12" t="inlineStr">
        <is>
          <t>הפרעת שימוש בסדאטיביים/היפנוטיים/אנקסיוליטיים</t>
        </is>
      </c>
      <c r="C91" s="11" t="inlineStr">
        <is>
          <t>7. Substance Use</t>
        </is>
      </c>
      <c r="D91" s="11" t="inlineStr">
        <is>
          <t>בינונית</t>
        </is>
      </c>
      <c r="E91" s="11" t="n">
        <v>9</v>
      </c>
      <c r="F91" s="11" t="inlineStr"/>
    </row>
    <row r="92">
      <c r="A92" s="11" t="n">
        <v>89</v>
      </c>
      <c r="B92" s="12" t="inlineStr">
        <is>
          <t>הלוצינוגנים + קפאין + שאיפות</t>
        </is>
      </c>
      <c r="C92" s="11" t="inlineStr">
        <is>
          <t>7. Substance Use</t>
        </is>
      </c>
      <c r="D92" s="11" t="inlineStr">
        <is>
          <t>בינונית</t>
        </is>
      </c>
      <c r="E92" s="11" t="n">
        <v>9</v>
      </c>
      <c r="F92" s="11" t="inlineStr"/>
    </row>
    <row r="93">
      <c r="A93" s="11" t="n">
        <v>90</v>
      </c>
      <c r="B93" s="12" t="inlineStr">
        <is>
          <t>התמכרות התנהגותית: הימורים</t>
        </is>
      </c>
      <c r="C93" s="11" t="inlineStr">
        <is>
          <t>7. Substance Use</t>
        </is>
      </c>
      <c r="D93" s="11" t="inlineStr">
        <is>
          <t>נמוכה</t>
        </is>
      </c>
      <c r="E93" s="11" t="n">
        <v>9</v>
      </c>
      <c r="F93" s="11" t="inlineStr"/>
    </row>
    <row r="94">
      <c r="A94" s="11" t="n">
        <v>91</v>
      </c>
      <c r="B94" s="12" t="inlineStr">
        <is>
          <t>הפרעת אישיות פרנואידית</t>
        </is>
      </c>
      <c r="C94" s="11" t="inlineStr">
        <is>
          <t>8. Personality + Special Populations</t>
        </is>
      </c>
      <c r="D94" s="11" t="inlineStr">
        <is>
          <t>בינונית</t>
        </is>
      </c>
      <c r="E94" s="11" t="n">
        <v>10</v>
      </c>
      <c r="F94" s="11" t="inlineStr"/>
    </row>
    <row r="95">
      <c r="A95" s="11" t="n">
        <v>92</v>
      </c>
      <c r="B95" s="12" t="inlineStr">
        <is>
          <t>הפרעת אישיות סכיזואידית</t>
        </is>
      </c>
      <c r="C95" s="11" t="inlineStr">
        <is>
          <t>8. Personality + Special Populations</t>
        </is>
      </c>
      <c r="D95" s="11" t="inlineStr">
        <is>
          <t>בינונית</t>
        </is>
      </c>
      <c r="E95" s="11" t="n">
        <v>10</v>
      </c>
      <c r="F95" s="11" t="inlineStr"/>
    </row>
    <row r="96">
      <c r="A96" s="11" t="n">
        <v>93</v>
      </c>
      <c r="B96" s="12" t="inlineStr">
        <is>
          <t>הפרעת אישיות סכיזוטיפלית</t>
        </is>
      </c>
      <c r="C96" s="11" t="inlineStr">
        <is>
          <t>8. Personality + Special Populations</t>
        </is>
      </c>
      <c r="D96" s="11" t="inlineStr">
        <is>
          <t>בינונית</t>
        </is>
      </c>
      <c r="E96" s="11" t="n">
        <v>10</v>
      </c>
      <c r="F96" s="11" t="inlineStr"/>
    </row>
    <row r="97">
      <c r="A97" s="11" t="n">
        <v>94</v>
      </c>
      <c r="B97" s="12" t="inlineStr">
        <is>
          <t>BPD — Borderline Personality Disorder</t>
        </is>
      </c>
      <c r="C97" s="11" t="inlineStr">
        <is>
          <t>8. Personality + Special Populations</t>
        </is>
      </c>
      <c r="D97" s="11" t="inlineStr">
        <is>
          <t>גבוהה</t>
        </is>
      </c>
      <c r="E97" s="11" t="n">
        <v>10</v>
      </c>
      <c r="F97" s="11" t="inlineStr"/>
    </row>
    <row r="98">
      <c r="A98" s="11" t="n">
        <v>95</v>
      </c>
      <c r="B98" s="12" t="inlineStr">
        <is>
          <t>טיפול ב-BPD: DBT</t>
        </is>
      </c>
      <c r="C98" s="11" t="inlineStr">
        <is>
          <t>8. Personality + Special Populations</t>
        </is>
      </c>
      <c r="D98" s="11" t="inlineStr">
        <is>
          <t>בינונית</t>
        </is>
      </c>
      <c r="E98" s="11" t="n">
        <v>10</v>
      </c>
      <c r="F98" s="11" t="inlineStr"/>
    </row>
    <row r="99">
      <c r="A99" s="11" t="n">
        <v>96</v>
      </c>
      <c r="B99" s="12" t="inlineStr">
        <is>
          <t>ASPD + Conduct Disorder</t>
        </is>
      </c>
      <c r="C99" s="11" t="inlineStr">
        <is>
          <t>8. Personality + Special Populations</t>
        </is>
      </c>
      <c r="D99" s="11" t="inlineStr">
        <is>
          <t>בינונית</t>
        </is>
      </c>
      <c r="E99" s="11" t="n">
        <v>10</v>
      </c>
      <c r="F99" s="11" t="inlineStr"/>
    </row>
    <row r="100">
      <c r="A100" s="11" t="n">
        <v>97</v>
      </c>
      <c r="B100" s="12" t="inlineStr">
        <is>
          <t>הפרעת אישיות היסטריונית</t>
        </is>
      </c>
      <c r="C100" s="11" t="inlineStr">
        <is>
          <t>8. Personality + Special Populations</t>
        </is>
      </c>
      <c r="D100" s="11" t="inlineStr">
        <is>
          <t>בינונית</t>
        </is>
      </c>
      <c r="E100" s="11" t="n">
        <v>10</v>
      </c>
      <c r="F100" s="11" t="inlineStr"/>
    </row>
    <row r="101">
      <c r="A101" s="11" t="n">
        <v>98</v>
      </c>
      <c r="B101" s="12" t="inlineStr">
        <is>
          <t>הפרעת אישיות נרציסיסטית</t>
        </is>
      </c>
      <c r="C101" s="11" t="inlineStr">
        <is>
          <t>8. Personality + Special Populations</t>
        </is>
      </c>
      <c r="D101" s="11" t="inlineStr">
        <is>
          <t>בינונית</t>
        </is>
      </c>
      <c r="E101" s="11" t="n">
        <v>10</v>
      </c>
      <c r="F101" s="11" t="inlineStr"/>
    </row>
    <row r="102">
      <c r="A102" s="11" t="n">
        <v>99</v>
      </c>
      <c r="B102" s="12" t="inlineStr">
        <is>
          <t>הפרעת אישיות נמנעת</t>
        </is>
      </c>
      <c r="C102" s="11" t="inlineStr">
        <is>
          <t>8. Personality + Special Populations</t>
        </is>
      </c>
      <c r="D102" s="11" t="inlineStr">
        <is>
          <t>בינונית</t>
        </is>
      </c>
      <c r="E102" s="11" t="n">
        <v>10</v>
      </c>
      <c r="F102" s="11" t="inlineStr"/>
    </row>
    <row r="103">
      <c r="A103" s="11" t="n">
        <v>100</v>
      </c>
      <c r="B103" s="12" t="inlineStr">
        <is>
          <t>הפרעת אישיות תלותית</t>
        </is>
      </c>
      <c r="C103" s="11" t="inlineStr">
        <is>
          <t>8. Personality + Special Populations</t>
        </is>
      </c>
      <c r="D103" s="11" t="inlineStr">
        <is>
          <t>בינונית</t>
        </is>
      </c>
      <c r="E103" s="11" t="n">
        <v>10</v>
      </c>
      <c r="F103" s="11" t="inlineStr"/>
    </row>
    <row r="104">
      <c r="A104" s="11" t="n">
        <v>101</v>
      </c>
      <c r="B104" s="12" t="inlineStr">
        <is>
          <t>הפרעת אישיות אובססיבית-קומפולסיבית (OCPD)</t>
        </is>
      </c>
      <c r="C104" s="11" t="inlineStr">
        <is>
          <t>8. Personality + Special Populations</t>
        </is>
      </c>
      <c r="D104" s="11" t="inlineStr">
        <is>
          <t>בינונית</t>
        </is>
      </c>
      <c r="E104" s="11" t="n">
        <v>10</v>
      </c>
      <c r="F104" s="11" t="inlineStr"/>
    </row>
    <row r="105">
      <c r="A105" s="11" t="n">
        <v>102</v>
      </c>
      <c r="B105" s="12" t="inlineStr">
        <is>
          <t>פסיכיאטריה משפטית</t>
        </is>
      </c>
      <c r="C105" s="11" t="inlineStr">
        <is>
          <t>8. Personality + Special Populations</t>
        </is>
      </c>
      <c r="D105" s="11" t="inlineStr">
        <is>
          <t>גבוהה</t>
        </is>
      </c>
      <c r="E105" s="11" t="n">
        <v>11</v>
      </c>
      <c r="F105" s="11" t="inlineStr"/>
    </row>
    <row r="106">
      <c r="A106" s="11" t="n">
        <v>103</v>
      </c>
      <c r="B106" s="12" t="inlineStr">
        <is>
          <t>החוק הישראלי בפסיכיאטריה של הילד והמתבגר</t>
        </is>
      </c>
      <c r="C106" s="11" t="inlineStr">
        <is>
          <t>8. Personality + Special Populations</t>
        </is>
      </c>
      <c r="D106" s="11" t="inlineStr">
        <is>
          <t>גבוהה</t>
        </is>
      </c>
      <c r="E106" s="11" t="n">
        <v>11</v>
      </c>
      <c r="F106" s="11" t="inlineStr"/>
    </row>
    <row r="107">
      <c r="A107" s="11" t="n">
        <v>104</v>
      </c>
      <c r="B107" s="12" t="inlineStr">
        <is>
          <t>דיספוריה מגדרית + טיפול LGBTQ+</t>
        </is>
      </c>
      <c r="C107" s="11" t="inlineStr">
        <is>
          <t>8. Personality + Special Populations</t>
        </is>
      </c>
      <c r="D107" s="11" t="inlineStr">
        <is>
          <t>בינונית</t>
        </is>
      </c>
      <c r="E107" s="11" t="n">
        <v>11</v>
      </c>
      <c r="F107" s="11" t="inlineStr"/>
    </row>
    <row r="108">
      <c r="A108" s="11" t="n">
        <v>105</v>
      </c>
      <c r="B108" s="12" t="inlineStr">
        <is>
          <t>תפקודים מיניים + הפרעות פרפיליות</t>
        </is>
      </c>
      <c r="C108" s="11" t="inlineStr">
        <is>
          <t>8. Personality + Special Populations</t>
        </is>
      </c>
      <c r="D108" s="11" t="inlineStr">
        <is>
          <t>בינונית</t>
        </is>
      </c>
      <c r="E108" s="11" t="n">
        <v>11</v>
      </c>
      <c r="F108" s="11" t="inlineStr"/>
    </row>
    <row r="109">
      <c r="A109" s="11" t="n">
        <v>106</v>
      </c>
      <c r="B109" s="12" t="inlineStr">
        <is>
          <t>ODD, IED, Kleptomania, Pyromania</t>
        </is>
      </c>
      <c r="C109" s="11" t="inlineStr">
        <is>
          <t>8. Personality + Special Populations</t>
        </is>
      </c>
      <c r="D109" s="11" t="inlineStr">
        <is>
          <t>נמוכה</t>
        </is>
      </c>
      <c r="E109" s="11" t="n">
        <v>11</v>
      </c>
      <c r="F109" s="11" t="inlineStr"/>
    </row>
    <row r="110">
      <c r="A110" s="11" t="n">
        <v>107</v>
      </c>
      <c r="B110" s="12" t="inlineStr">
        <is>
          <t>אגרסיביות ואלימות בילדים ובמתבגרים</t>
        </is>
      </c>
      <c r="C110" s="11" t="inlineStr">
        <is>
          <t>8. Personality + Special Populations</t>
        </is>
      </c>
      <c r="D110" s="11" t="inlineStr">
        <is>
          <t>גבוהה</t>
        </is>
      </c>
      <c r="E110" s="11" t="n">
        <v>11</v>
      </c>
      <c r="F110" s="11" t="inlineStr"/>
    </row>
    <row r="111">
      <c r="A111" s="11" t="n">
        <v>108</v>
      </c>
      <c r="B111" s="12" t="inlineStr">
        <is>
          <t>אובדנות בנער/ה</t>
        </is>
      </c>
      <c r="C111" s="11" t="inlineStr">
        <is>
          <t>8. Personality + Special Populations</t>
        </is>
      </c>
      <c r="D111" s="11" t="inlineStr">
        <is>
          <t>גבוהה</t>
        </is>
      </c>
      <c r="E111" s="11" t="n">
        <v>11</v>
      </c>
      <c r="F111" s="11" t="inlineStr"/>
    </row>
    <row r="112">
      <c r="A112" s="11" t="n">
        <v>109</v>
      </c>
      <c r="B112" s="12" t="inlineStr">
        <is>
          <t>פגיעה עצמית ללא כוונת אובדנות (NSSI)</t>
        </is>
      </c>
      <c r="C112" s="11" t="inlineStr">
        <is>
          <t>8. Personality + Special Populations</t>
        </is>
      </c>
      <c r="D112" s="11" t="inlineStr">
        <is>
          <t>נמוכה</t>
        </is>
      </c>
      <c r="E112" s="11" t="n">
        <v>11</v>
      </c>
      <c r="F112" s="11" t="inlineStr"/>
    </row>
    <row r="113">
      <c r="A113" s="11" t="n">
        <v>110</v>
      </c>
      <c r="B113" s="12" t="inlineStr">
        <is>
          <t>מעברים משפחתיים: גירושין, אימוץ ואומנה</t>
        </is>
      </c>
      <c r="C113" s="11" t="inlineStr">
        <is>
          <t>8. Personality + Special Populations</t>
        </is>
      </c>
      <c r="D113" s="11" t="inlineStr">
        <is>
          <t>בינונית</t>
        </is>
      </c>
      <c r="E113" s="11" t="n">
        <v>11</v>
      </c>
      <c r="F113" s="11" t="inlineStr"/>
    </row>
    <row r="114">
      <c r="A114" s="11" t="n">
        <v>111</v>
      </c>
      <c r="B114" s="12" t="inlineStr">
        <is>
          <t>היבטים תרבותיים ודתיים בבריאות הנפש של הילד</t>
        </is>
      </c>
      <c r="C114" s="11" t="inlineStr">
        <is>
          <t>8. Personality + Special Populations</t>
        </is>
      </c>
      <c r="D114" s="11" t="inlineStr">
        <is>
          <t>בינונית</t>
        </is>
      </c>
      <c r="E114" s="11" t="n">
        <v>11</v>
      </c>
      <c r="F114" s="11" t="inlineStr"/>
    </row>
    <row r="115">
      <c r="A115" s="11" t="n">
        <v>112</v>
      </c>
      <c r="B115" s="12" t="inlineStr">
        <is>
          <t>פסיכיאטריה פרינטלית</t>
        </is>
      </c>
      <c r="C115" s="11" t="inlineStr">
        <is>
          <t>8. Personality + Special Populations</t>
        </is>
      </c>
      <c r="D115" s="11" t="inlineStr">
        <is>
          <t>גבוהה</t>
        </is>
      </c>
      <c r="E115" s="11" t="n">
        <v>11</v>
      </c>
      <c r="F115" s="11" t="inlineStr"/>
    </row>
    <row r="116">
      <c r="A116" s="11" t="n">
        <v>113</v>
      </c>
      <c r="B116" s="12" t="inlineStr">
        <is>
          <t>Brexanolone + Zuranolone לדיכאון לאחר לידה</t>
        </is>
      </c>
      <c r="C116" s="11" t="inlineStr">
        <is>
          <t>8. Personality + Special Populations</t>
        </is>
      </c>
      <c r="D116" s="11" t="inlineStr">
        <is>
          <t>נמוכה</t>
        </is>
      </c>
      <c r="E116" s="11" t="n">
        <v>12</v>
      </c>
      <c r="F116" s="11" t="inlineStr"/>
    </row>
    <row r="117">
      <c r="A117" s="11" t="n">
        <v>114</v>
      </c>
      <c r="B117" s="12" t="inlineStr">
        <is>
          <t>גריאטריה — סקירה (delirium)</t>
        </is>
      </c>
      <c r="C117" s="11" t="inlineStr">
        <is>
          <t>8. Personality + Special Populations</t>
        </is>
      </c>
      <c r="D117" s="11" t="inlineStr">
        <is>
          <t>בינונית</t>
        </is>
      </c>
      <c r="E117" s="11" t="n">
        <v>12</v>
      </c>
      <c r="F117" s="11" t="inlineStr"/>
    </row>
    <row r="118">
      <c r="A118" s="11" t="n">
        <v>115</v>
      </c>
      <c r="B118" s="12" t="inlineStr">
        <is>
          <t>נוירואנטומיה + בדיקה נוירולוגית בילדים</t>
        </is>
      </c>
      <c r="C118" s="11" t="inlineStr">
        <is>
          <t>9. Neurology + Cross-cutting</t>
        </is>
      </c>
      <c r="D118" s="11" t="inlineStr">
        <is>
          <t>בינונית</t>
        </is>
      </c>
      <c r="E118" s="11" t="n">
        <v>12</v>
      </c>
      <c r="F118" s="11" t="inlineStr"/>
    </row>
    <row r="119">
      <c r="A119" s="11" t="n">
        <v>116</v>
      </c>
      <c r="B119" s="12" t="inlineStr">
        <is>
          <t>פרכוסים + אפילפסיה</t>
        </is>
      </c>
      <c r="C119" s="11" t="inlineStr">
        <is>
          <t>9. Neurology + Cross-cutting</t>
        </is>
      </c>
      <c r="D119" s="11" t="inlineStr">
        <is>
          <t>גבוהה</t>
        </is>
      </c>
      <c r="E119" s="11" t="n">
        <v>12</v>
      </c>
      <c r="F119" s="11" t="inlineStr"/>
    </row>
    <row r="120">
      <c r="A120" s="11" t="n">
        <v>117</v>
      </c>
      <c r="B120" s="12" t="inlineStr">
        <is>
          <t>חבלת ראש + סקוואלי TBI</t>
        </is>
      </c>
      <c r="C120" s="11" t="inlineStr">
        <is>
          <t>9. Neurology + Cross-cutting</t>
        </is>
      </c>
      <c r="D120" s="11" t="inlineStr">
        <is>
          <t>בינונית</t>
        </is>
      </c>
      <c r="E120" s="11" t="n">
        <v>12</v>
      </c>
      <c r="F120" s="11" t="inlineStr"/>
    </row>
    <row r="121">
      <c r="A121" s="11" t="n">
        <v>118</v>
      </c>
      <c r="B121" s="12" t="inlineStr">
        <is>
          <t>זיהומים ב-CNS עם השלכות פסיכיאטריות</t>
        </is>
      </c>
      <c r="C121" s="11" t="inlineStr">
        <is>
          <t>9. Neurology + Cross-cutting</t>
        </is>
      </c>
      <c r="D121" s="11" t="inlineStr">
        <is>
          <t>בינונית</t>
        </is>
      </c>
      <c r="E121" s="11" t="n">
        <v>12</v>
      </c>
      <c r="F121" s="11" t="inlineStr"/>
    </row>
    <row r="122">
      <c r="A122" s="11" t="n">
        <v>119</v>
      </c>
      <c r="B122" s="12" t="inlineStr">
        <is>
          <t>הפרעות תנועה: Huntington, Wilson</t>
        </is>
      </c>
      <c r="C122" s="11" t="inlineStr">
        <is>
          <t>9. Neurology + Cross-cutting</t>
        </is>
      </c>
      <c r="D122" s="11" t="inlineStr">
        <is>
          <t>בינונית</t>
        </is>
      </c>
      <c r="E122" s="11" t="n">
        <v>12</v>
      </c>
      <c r="F122" s="11" t="inlineStr"/>
    </row>
    <row r="123">
      <c r="A123" s="11" t="n">
        <v>120</v>
      </c>
      <c r="B123" s="12" t="inlineStr">
        <is>
          <t>גידולי מוח + pseudotumor</t>
        </is>
      </c>
      <c r="C123" s="11" t="inlineStr">
        <is>
          <t>9. Neurology + Cross-cutting</t>
        </is>
      </c>
      <c r="D123" s="11" t="inlineStr">
        <is>
          <t>נמוכה</t>
        </is>
      </c>
      <c r="E123" s="11" t="n">
        <v>12</v>
      </c>
      <c r="F123" s="11" t="inlineStr"/>
    </row>
    <row r="124">
      <c r="A124" s="11" t="n">
        <v>121</v>
      </c>
      <c r="B124" s="12" t="inlineStr">
        <is>
          <t>שיתוק מוחין (Cerebral Palsy)</t>
        </is>
      </c>
      <c r="C124" s="11" t="inlineStr">
        <is>
          <t>9. Neurology + Cross-cutting</t>
        </is>
      </c>
      <c r="D124" s="11" t="inlineStr">
        <is>
          <t>נמוכה</t>
        </is>
      </c>
      <c r="E124" s="11" t="n">
        <v>12</v>
      </c>
      <c r="F124" s="11" t="inlineStr"/>
    </row>
    <row r="125">
      <c r="A125" s="11" t="n">
        <v>122</v>
      </c>
      <c r="B125" s="12" t="inlineStr">
        <is>
          <t>תסמונות נוירוגנטיות</t>
        </is>
      </c>
      <c r="C125" s="11" t="inlineStr">
        <is>
          <t>9. Neurology + Cross-cutting</t>
        </is>
      </c>
      <c r="D125" s="11" t="inlineStr">
        <is>
          <t>גבוהה</t>
        </is>
      </c>
      <c r="E125" s="11" t="n">
        <v>12</v>
      </c>
      <c r="F125" s="11" t="inlineStr"/>
    </row>
    <row r="126">
      <c r="A126" s="11" t="n">
        <v>123</v>
      </c>
      <c r="B126" s="12" t="inlineStr">
        <is>
          <t>תסמונות נוירוקוטנאיות</t>
        </is>
      </c>
      <c r="C126" s="11" t="inlineStr">
        <is>
          <t>9. Neurology + Cross-cutting</t>
        </is>
      </c>
      <c r="D126" s="11" t="inlineStr">
        <is>
          <t>נמוכה</t>
        </is>
      </c>
      <c r="E126" s="11" t="n">
        <v>12</v>
      </c>
      <c r="F126" s="11" t="inlineStr"/>
    </row>
    <row r="127">
      <c r="A127" s="11" t="n">
        <v>124</v>
      </c>
      <c r="B127" s="12" t="inlineStr">
        <is>
          <t>כאב ראש + מיגרנה</t>
        </is>
      </c>
      <c r="C127" s="11" t="inlineStr">
        <is>
          <t>9. Neurology + Cross-cutting</t>
        </is>
      </c>
      <c r="D127" s="11" t="inlineStr">
        <is>
          <t>נמוכה</t>
        </is>
      </c>
      <c r="E127" s="11" t="n">
        <v>12</v>
      </c>
      <c r="F127" s="11" t="inlineStr"/>
    </row>
    <row r="128">
      <c r="A128" s="11" t="n">
        <v>125</v>
      </c>
      <c r="B128" s="12" t="inlineStr">
        <is>
          <t>מחלות מטבוליות עם ביטוי פסיכיאטרי</t>
        </is>
      </c>
      <c r="C128" s="11" t="inlineStr">
        <is>
          <t>9. Neurology + Cross-cutting</t>
        </is>
      </c>
      <c r="D128" s="11" t="inlineStr">
        <is>
          <t>גבוהה</t>
        </is>
      </c>
      <c r="E128" s="11" t="n">
        <v>13</v>
      </c>
      <c r="F128" s="11" t="inlineStr"/>
    </row>
    <row r="129">
      <c r="A129" s="11" t="n">
        <v>126</v>
      </c>
      <c r="B129" s="12" t="inlineStr">
        <is>
          <t>אוטואימוני: NMDA encephalitis, lupus, PANDAS</t>
        </is>
      </c>
      <c r="C129" s="11" t="inlineStr">
        <is>
          <t>9. Neurology + Cross-cutting</t>
        </is>
      </c>
      <c r="D129" s="11" t="inlineStr">
        <is>
          <t>בינונית</t>
        </is>
      </c>
      <c r="E129" s="11" t="n">
        <v>13</v>
      </c>
      <c r="F129" s="11" t="inlineStr"/>
    </row>
    <row r="130">
      <c r="A130" s="11" t="n">
        <v>127</v>
      </c>
      <c r="B130" s="12" t="inlineStr">
        <is>
          <t>ניוון עצבי בילדים</t>
        </is>
      </c>
      <c r="C130" s="11" t="inlineStr">
        <is>
          <t>9. Neurology + Cross-cutting</t>
        </is>
      </c>
      <c r="D130" s="11" t="inlineStr">
        <is>
          <t>נמוכה</t>
        </is>
      </c>
      <c r="E130" s="11" t="n">
        <v>13</v>
      </c>
      <c r="F130" s="11" t="inlineStr"/>
    </row>
    <row r="131">
      <c r="A131" s="11" t="n">
        <v>128</v>
      </c>
      <c r="B131" s="12" t="inlineStr">
        <is>
          <t>רפואת שינה — אינטנסיבית</t>
        </is>
      </c>
      <c r="C131" s="11" t="inlineStr">
        <is>
          <t>9. Neurology + Cross-cutting</t>
        </is>
      </c>
      <c r="D131" s="11" t="inlineStr">
        <is>
          <t>בינונית</t>
        </is>
      </c>
      <c r="E131" s="11" t="n">
        <v>13</v>
      </c>
      <c r="F131" s="11" t="inlineStr"/>
    </row>
    <row r="132">
      <c r="A132" s="11" t="n">
        <v>129</v>
      </c>
      <c r="B132" s="12" t="inlineStr">
        <is>
          <t>חירום פסיכיאטרי בילדים ובמתבגרים</t>
        </is>
      </c>
      <c r="C132" s="11" t="inlineStr">
        <is>
          <t>9. Neurology + Cross-cutting</t>
        </is>
      </c>
      <c r="D132" s="11" t="inlineStr">
        <is>
          <t>גבוהה</t>
        </is>
      </c>
      <c r="E132" s="11" t="n">
        <v>13</v>
      </c>
      <c r="F132" s="11" t="inlineStr"/>
    </row>
    <row r="133">
      <c r="A133" s="11" t="n">
        <v>130</v>
      </c>
      <c r="B133" s="12" t="inlineStr">
        <is>
          <t>ייעוץ-קישור: פדיאטריה, אונקולוגיה ומחלות כרוניות</t>
        </is>
      </c>
      <c r="C133" s="11" t="inlineStr">
        <is>
          <t>9. Neurology + Cross-cutting</t>
        </is>
      </c>
      <c r="D133" s="11" t="inlineStr">
        <is>
          <t>גבוהה</t>
        </is>
      </c>
      <c r="E133" s="11" t="n">
        <v>13</v>
      </c>
      <c r="F133" s="11" t="inlineStr"/>
    </row>
    <row r="134">
      <c r="A134" s="11" t="n">
        <v>131</v>
      </c>
      <c r="B134" s="12" t="inlineStr">
        <is>
          <t>סקירת תיאוריות פסיכותרפויטיות</t>
        </is>
      </c>
      <c r="C134" s="11" t="inlineStr">
        <is>
          <t>9. Neurology + Cross-cutting</t>
        </is>
      </c>
      <c r="D134" s="11" t="inlineStr">
        <is>
          <t>גבוהה</t>
        </is>
      </c>
      <c r="E134" s="11" t="n">
        <v>13</v>
      </c>
      <c r="F134" s="11" t="inlineStr"/>
    </row>
    <row r="135">
      <c r="A135" s="11" t="n">
        <v>132</v>
      </c>
      <c r="B135" s="12" t="inlineStr">
        <is>
          <t>CBT — תיאוריה ופרקטיקה</t>
        </is>
      </c>
      <c r="C135" s="11" t="inlineStr">
        <is>
          <t>10. Psychotherapy + Integration</t>
        </is>
      </c>
      <c r="D135" s="11" t="inlineStr">
        <is>
          <t>גבוהה</t>
        </is>
      </c>
      <c r="E135" s="11" t="n">
        <v>13</v>
      </c>
      <c r="F135" s="11" t="inlineStr"/>
    </row>
    <row r="136">
      <c r="A136" s="11" t="n">
        <v>133</v>
      </c>
      <c r="B136" s="12" t="inlineStr">
        <is>
          <t>DBT — תיאוריה ופרקטיקה</t>
        </is>
      </c>
      <c r="C136" s="11" t="inlineStr">
        <is>
          <t>10. Psychotherapy + Integration</t>
        </is>
      </c>
      <c r="D136" s="11" t="inlineStr">
        <is>
          <t>גבוהה</t>
        </is>
      </c>
      <c r="E136" s="11" t="n">
        <v>13</v>
      </c>
      <c r="F136" s="11" t="inlineStr"/>
    </row>
    <row r="137">
      <c r="A137" s="11" t="n">
        <v>134</v>
      </c>
      <c r="B137" s="12" t="inlineStr">
        <is>
          <t>IPT-A — פסיכותרפיה בין-אישית למתבגרים</t>
        </is>
      </c>
      <c r="C137" s="11" t="inlineStr">
        <is>
          <t>10. Psychotherapy + Integration</t>
        </is>
      </c>
      <c r="D137" s="11" t="inlineStr">
        <is>
          <t>בינונית</t>
        </is>
      </c>
      <c r="E137" s="11" t="n">
        <v>13</v>
      </c>
      <c r="F137" s="11" t="inlineStr"/>
    </row>
    <row r="138">
      <c r="A138" s="11" t="n">
        <v>135</v>
      </c>
      <c r="B138" s="12" t="inlineStr">
        <is>
          <t>ראיון מוטיבציוני</t>
        </is>
      </c>
      <c r="C138" s="11" t="inlineStr">
        <is>
          <t>10. Psychotherapy + Integration</t>
        </is>
      </c>
      <c r="D138" s="11" t="inlineStr">
        <is>
          <t>בינונית</t>
        </is>
      </c>
      <c r="E138" s="11" t="n">
        <v>14</v>
      </c>
      <c r="F138" s="11" t="inlineStr"/>
    </row>
    <row r="139">
      <c r="A139" s="11" t="n">
        <v>136</v>
      </c>
      <c r="B139" s="12" t="inlineStr">
        <is>
          <t>מסגרות טיפול: אשפוז, אשפוז יום, מגורים ו-Systems of Care</t>
        </is>
      </c>
      <c r="C139" s="11" t="inlineStr">
        <is>
          <t>10. Psychotherapy + Integration</t>
        </is>
      </c>
      <c r="D139" s="11" t="inlineStr">
        <is>
          <t>בינונית</t>
        </is>
      </c>
      <c r="E139" s="11" t="n">
        <v>14</v>
      </c>
      <c r="F139" s="11" t="inlineStr"/>
    </row>
    <row r="140">
      <c r="A140" s="11" t="n">
        <v>137</v>
      </c>
      <c r="B140" s="12" t="inlineStr">
        <is>
          <t>התערבויות וייעוץ במסגרת בית הספר</t>
        </is>
      </c>
      <c r="C140" s="11" t="inlineStr">
        <is>
          <t>10. Psychotherapy + Integration</t>
        </is>
      </c>
      <c r="D140" s="11" t="inlineStr">
        <is>
          <t>בינונית</t>
        </is>
      </c>
      <c r="E140" s="11" t="n">
        <v>14</v>
      </c>
      <c r="F140" s="11" t="inlineStr"/>
    </row>
    <row r="141">
      <c r="A141" s="11" t="n">
        <v>138</v>
      </c>
      <c r="B141" s="12" t="inlineStr">
        <is>
          <t>טיפול משפחתי + הדרכת הורים</t>
        </is>
      </c>
      <c r="C141" s="11" t="inlineStr">
        <is>
          <t>10. Psychotherapy + Integration</t>
        </is>
      </c>
      <c r="D141" s="11" t="inlineStr">
        <is>
          <t>בינונית</t>
        </is>
      </c>
      <c r="E141" s="11" t="n">
        <v>14</v>
      </c>
      <c r="F141" s="11" t="inlineStr"/>
    </row>
    <row r="142">
      <c r="A142" s="11" t="n">
        <v>139</v>
      </c>
      <c r="B142" s="12" t="inlineStr">
        <is>
          <t>פסיכודינמי: Anna Freud, Klein, Kohut, Mentalization</t>
        </is>
      </c>
      <c r="C142" s="11" t="inlineStr">
        <is>
          <t>10. Psychotherapy + Integration</t>
        </is>
      </c>
      <c r="D142" s="11" t="inlineStr">
        <is>
          <t>גבוהה</t>
        </is>
      </c>
      <c r="E142" s="11" t="n">
        <v>14</v>
      </c>
      <c r="F142" s="11" t="inlineStr"/>
    </row>
    <row r="143">
      <c r="A143" s="11" t="n">
        <v>140</v>
      </c>
      <c r="B143" s="12" t="inlineStr">
        <is>
          <t>יחסי אובייקט: ויניקוט, מאהלר, קרנברג</t>
        </is>
      </c>
      <c r="C143" s="11" t="inlineStr">
        <is>
          <t>10. Psychotherapy + Integration</t>
        </is>
      </c>
      <c r="D143" s="11" t="inlineStr">
        <is>
          <t>גבוהה</t>
        </is>
      </c>
      <c r="E143" s="11" t="n">
        <v>14</v>
      </c>
      <c r="F143" s="11" t="inlineStr"/>
    </row>
    <row r="144">
      <c r="A144" s="11" t="n">
        <v>141</v>
      </c>
      <c r="B144" s="12" t="inlineStr">
        <is>
          <t>תיאורטיקנים נוספים: אריקסון, ביון, אוגדן, לאקאן, שפיץ, שטרן וההתייחסותיים</t>
        </is>
      </c>
      <c r="C144" s="11" t="inlineStr">
        <is>
          <t>10. Psychotherapy + Integration</t>
        </is>
      </c>
      <c r="D144" s="11" t="inlineStr">
        <is>
          <t>גבוהה</t>
        </is>
      </c>
      <c r="E144" s="11" t="n">
        <v>14</v>
      </c>
      <c r="F144" s="11" t="inlineStr"/>
    </row>
    <row r="145">
      <c r="A145" s="11" t="n">
        <v>142</v>
      </c>
      <c r="B145" s="12" t="inlineStr">
        <is>
          <t>בריאות נפש מרחוק לילדים ומתבגרים</t>
        </is>
      </c>
      <c r="C145" s="11" t="inlineStr">
        <is>
          <t>10. Psychotherapy + Integration</t>
        </is>
      </c>
      <c r="D145" s="11" t="inlineStr">
        <is>
          <t>נמוכה</t>
        </is>
      </c>
      <c r="E145" s="11" t="n">
        <v>14</v>
      </c>
      <c r="F145" s="11" t="inlineStr"/>
    </row>
    <row r="146">
      <c r="A146" s="11" t="n">
        <v>143</v>
      </c>
      <c r="B146" s="12" t="inlineStr">
        <is>
          <t>רפואה מבוססת ראיות בפסיכיאטריה של הילד</t>
        </is>
      </c>
      <c r="C146" s="11" t="inlineStr">
        <is>
          <t>10. Psychotherapy + Integration</t>
        </is>
      </c>
      <c r="D146" s="11" t="inlineStr">
        <is>
          <t>בינונית</t>
        </is>
      </c>
      <c r="E146" s="11" t="n">
        <v>14</v>
      </c>
      <c r="F146" s="11" t="inlineStr"/>
    </row>
    <row r="147">
      <c r="A147" s="11" t="n">
        <v>144</v>
      </c>
      <c r="B147" s="12" t="inlineStr">
        <is>
          <t>אינטגרציה + שאלות + סקירת נקודות חולשה</t>
        </is>
      </c>
      <c r="C147" s="11" t="inlineStr">
        <is>
          <t>10. Psychotherapy + Integration</t>
        </is>
      </c>
      <c r="D147" s="11" t="inlineStr">
        <is>
          <t>גבוהה</t>
        </is>
      </c>
      <c r="E147" s="11" t="n">
        <v>14</v>
      </c>
      <c r="F147" s="11" t="inlineStr"/>
    </row>
  </sheetData>
  <dataValidations count="1">
    <dataValidation sqref="F4:F147" showDropDown="0" showInputMessage="0" showErrorMessage="0" allowBlank="1" type="list">
      <formula1>"✓,"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2026-07-23T15:58:02Z</dcterms:created>
  <dcterms:modified xmlns:dcterms="http://purl.org/dc/terms/" xmlns:xsi="http://www.w3.org/2001/XMLSchema-instance" xsi:type="dcterms:W3CDTF">2026-07-23T15:58:02Z</dcterms:modified>
</cp:coreProperties>
</file>