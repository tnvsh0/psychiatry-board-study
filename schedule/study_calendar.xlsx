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שבועי" sheetId="1" state="visible" r:id="rId1"/>
    <sheet xmlns:r="http://schemas.openxmlformats.org/officeDocument/2006/relationships" name="פירוט פרקים" sheetId="2" state="visible" r:id="rId2"/>
    <sheet xmlns:r="http://schemas.openxmlformats.org/officeDocument/2006/relationships" name="שאלות תרגו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b val="1"/>
      <sz val="12"/>
    </font>
    <font>
      <name val="Arial"/>
      <color rgb="001F4E3D"/>
      <sz val="10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AF1FB"/>
      </patternFill>
    </fill>
    <fill>
      <patternFill patternType="solid">
        <fgColor rgb="00FADBD8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top" wrapText="1"/>
    </xf>
    <xf numFmtId="0" fontId="5" fillId="0" borderId="1" applyAlignment="1" pivotButton="0" quotePrefix="0" xfId="0">
      <alignment horizontal="right" vertical="top" wrapText="1"/>
    </xf>
    <xf numFmtId="0" fontId="2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8" customWidth="1" min="7" max="7"/>
    <col width="60" customWidth="1" min="8" max="8"/>
    <col width="9" customWidth="1" min="9" max="9"/>
  </cols>
  <sheetData>
    <row r="1">
      <c r="A1" s="1" t="inlineStr">
        <is>
          <t>שבוע</t>
        </is>
      </c>
      <c r="B1" s="1" t="inlineStr">
        <is>
          <t>סוג</t>
        </is>
      </c>
      <c r="C1" s="1" t="inlineStr">
        <is>
          <t>מתאריך</t>
        </is>
      </c>
      <c r="D1" s="1" t="inlineStr">
        <is>
          <t>עד תאריך</t>
        </is>
      </c>
      <c r="E1" s="1" t="inlineStr">
        <is>
          <t>פרקים</t>
        </is>
      </c>
      <c r="F1" s="1" t="inlineStr">
        <is>
          <t>מס' פרקים</t>
        </is>
      </c>
      <c r="G1" s="1" t="inlineStr">
        <is>
          <t>עומס</t>
        </is>
      </c>
      <c r="H1" s="1" t="inlineStr">
        <is>
          <t>תחומים / מוקד</t>
        </is>
      </c>
      <c r="I1" s="1" t="inlineStr">
        <is>
          <t>הושלם</t>
        </is>
      </c>
    </row>
    <row r="2">
      <c r="A2" s="2" t="n">
        <v>1</v>
      </c>
      <c r="B2" s="2" t="inlineStr">
        <is>
          <t>למידה</t>
        </is>
      </c>
      <c r="C2" s="2" t="inlineStr">
        <is>
          <t>28 ספט</t>
        </is>
      </c>
      <c r="D2" s="2" t="inlineStr">
        <is>
          <t>4 אוק</t>
        </is>
      </c>
      <c r="E2" s="2" t="inlineStr">
        <is>
          <t>1–16</t>
        </is>
      </c>
      <c r="F2" s="2" t="n">
        <v>16</v>
      </c>
      <c r="G2" s="2" t="n">
        <v>18.2</v>
      </c>
      <c r="H2" s="3" t="inlineStr">
        <is>
          <t>Foundations</t>
        </is>
      </c>
      <c r="I2" s="2" t="inlineStr"/>
    </row>
    <row r="3">
      <c r="A3" s="2" t="n">
        <v>2</v>
      </c>
      <c r="B3" s="2" t="inlineStr">
        <is>
          <t>למידה</t>
        </is>
      </c>
      <c r="C3" s="2" t="inlineStr">
        <is>
          <t>5 אוק</t>
        </is>
      </c>
      <c r="D3" s="2" t="inlineStr">
        <is>
          <t>11 אוק</t>
        </is>
      </c>
      <c r="E3" s="2" t="inlineStr">
        <is>
          <t>17–33</t>
        </is>
      </c>
      <c r="F3" s="2" t="n">
        <v>17</v>
      </c>
      <c r="G3" s="2" t="n">
        <v>19.9</v>
      </c>
      <c r="H3" s="3" t="inlineStr">
        <is>
          <t>Neurodevelopmental · Mood and Anxiety</t>
        </is>
      </c>
      <c r="I3" s="2" t="inlineStr"/>
    </row>
    <row r="4">
      <c r="A4" s="2" t="n">
        <v>3</v>
      </c>
      <c r="B4" s="2" t="inlineStr">
        <is>
          <t>למידה</t>
        </is>
      </c>
      <c r="C4" s="2" t="inlineStr">
        <is>
          <t>12 אוק</t>
        </is>
      </c>
      <c r="D4" s="2" t="inlineStr">
        <is>
          <t>18 אוק</t>
        </is>
      </c>
      <c r="E4" s="2" t="inlineStr">
        <is>
          <t>34–52</t>
        </is>
      </c>
      <c r="F4" s="2" t="n">
        <v>19</v>
      </c>
      <c r="G4" s="2" t="n">
        <v>20</v>
      </c>
      <c r="H4" s="3" t="inlineStr">
        <is>
          <t>Mood and Anxiety · OCD and Trauma</t>
        </is>
      </c>
      <c r="I4" s="2" t="inlineStr"/>
    </row>
    <row r="5">
      <c r="A5" s="2" t="n">
        <v>4</v>
      </c>
      <c r="B5" s="2" t="inlineStr">
        <is>
          <t>למידה</t>
        </is>
      </c>
      <c r="C5" s="2" t="inlineStr">
        <is>
          <t>19 אוק</t>
        </is>
      </c>
      <c r="D5" s="2" t="inlineStr">
        <is>
          <t>25 אוק</t>
        </is>
      </c>
      <c r="E5" s="2" t="inlineStr">
        <is>
          <t>53–70</t>
        </is>
      </c>
      <c r="F5" s="2" t="n">
        <v>18</v>
      </c>
      <c r="G5" s="2" t="n">
        <v>20.5</v>
      </c>
      <c r="H5" s="3" t="inlineStr">
        <is>
          <t>OCD and Trauma · Psychosis and Antipsychotics</t>
        </is>
      </c>
      <c r="I5" s="2" t="inlineStr"/>
    </row>
    <row r="6">
      <c r="A6" s="2" t="n">
        <v>5</v>
      </c>
      <c r="B6" s="2" t="inlineStr">
        <is>
          <t>למידה</t>
        </is>
      </c>
      <c r="C6" s="2" t="inlineStr">
        <is>
          <t>26 אוק</t>
        </is>
      </c>
      <c r="D6" s="2" t="inlineStr">
        <is>
          <t>1 נוב</t>
        </is>
      </c>
      <c r="E6" s="2" t="inlineStr">
        <is>
          <t>71–90</t>
        </is>
      </c>
      <c r="F6" s="2" t="n">
        <v>20</v>
      </c>
      <c r="G6" s="2" t="n">
        <v>19.4</v>
      </c>
      <c r="H6" s="3" t="inlineStr">
        <is>
          <t>Sleep, Eating, Elimination · Substance Use</t>
        </is>
      </c>
      <c r="I6" s="2" t="inlineStr"/>
    </row>
    <row r="7">
      <c r="A7" s="2" t="n">
        <v>6</v>
      </c>
      <c r="B7" s="2" t="inlineStr">
        <is>
          <t>למידה</t>
        </is>
      </c>
      <c r="C7" s="2" t="inlineStr">
        <is>
          <t>2 נוב</t>
        </is>
      </c>
      <c r="D7" s="2" t="inlineStr">
        <is>
          <t>8 נוב</t>
        </is>
      </c>
      <c r="E7" s="2" t="inlineStr">
        <is>
          <t>91–108</t>
        </is>
      </c>
      <c r="F7" s="2" t="n">
        <v>18</v>
      </c>
      <c r="G7" s="2" t="n">
        <v>19.7</v>
      </c>
      <c r="H7" s="3" t="inlineStr">
        <is>
          <t>Personality + Special Populations</t>
        </is>
      </c>
      <c r="I7" s="2" t="inlineStr"/>
    </row>
    <row r="8">
      <c r="A8" s="2" t="n">
        <v>7</v>
      </c>
      <c r="B8" s="2" t="inlineStr">
        <is>
          <t>למידה</t>
        </is>
      </c>
      <c r="C8" s="2" t="inlineStr">
        <is>
          <t>9 נוב</t>
        </is>
      </c>
      <c r="D8" s="2" t="inlineStr">
        <is>
          <t>15 נוב</t>
        </is>
      </c>
      <c r="E8" s="2" t="inlineStr">
        <is>
          <t>109–129</t>
        </is>
      </c>
      <c r="F8" s="2" t="n">
        <v>21</v>
      </c>
      <c r="G8" s="2" t="n">
        <v>20.9</v>
      </c>
      <c r="H8" s="3" t="inlineStr">
        <is>
          <t>Personality + Special Populations · Neurology + Cross-cutting</t>
        </is>
      </c>
      <c r="I8" s="2" t="inlineStr"/>
    </row>
    <row r="9">
      <c r="A9" s="2" t="n">
        <v>8</v>
      </c>
      <c r="B9" s="2" t="inlineStr">
        <is>
          <t>למידה</t>
        </is>
      </c>
      <c r="C9" s="2" t="inlineStr">
        <is>
          <t>16 נוב</t>
        </is>
      </c>
      <c r="D9" s="2" t="inlineStr">
        <is>
          <t>22 נוב</t>
        </is>
      </c>
      <c r="E9" s="2" t="inlineStr">
        <is>
          <t>130–144</t>
        </is>
      </c>
      <c r="F9" s="2" t="n">
        <v>15</v>
      </c>
      <c r="G9" s="2" t="n">
        <v>17.9</v>
      </c>
      <c r="H9" s="3" t="inlineStr">
        <is>
          <t>Neurology + Cross-cutting · Psychotherapy + Integration</t>
        </is>
      </c>
      <c r="I9" s="2" t="inlineStr"/>
    </row>
    <row r="10">
      <c r="A10" s="4" t="inlineStr">
        <is>
          <t>בחינה</t>
        </is>
      </c>
      <c r="B10" s="4" t="inlineStr">
        <is>
          <t>—</t>
        </is>
      </c>
      <c r="C10" s="4" t="inlineStr">
        <is>
          <t>23 נוב</t>
        </is>
      </c>
      <c r="D10" s="4" t="inlineStr">
        <is>
          <t>25 נוב</t>
        </is>
      </c>
      <c r="E10" s="4" t="inlineStr">
        <is>
          <t>—</t>
        </is>
      </c>
      <c r="F10" s="4" t="inlineStr">
        <is>
          <t>—</t>
        </is>
      </c>
      <c r="G10" s="4" t="inlineStr">
        <is>
          <t>—</t>
        </is>
      </c>
      <c r="H10" s="5" t="inlineStr">
        <is>
          <t>שבוע הבחינה — מנוחה וחזרה קלה בלבד — לא ללמוד חומר חדש. סקירת high-yield וכרטיסיות אדומות.</t>
        </is>
      </c>
      <c r="I10" s="4" t="inlineStr"/>
    </row>
  </sheetData>
  <dataValidations count="1">
    <dataValidation sqref="I2:I10" showDropDown="0" showInputMessage="0" showErrorMessage="0" allowBlank="1" type="list">
      <formula1>"✓,"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7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30" customWidth="1" min="3" max="3"/>
    <col width="9" customWidth="1" min="4" max="4"/>
    <col width="7" customWidth="1" min="5" max="5"/>
    <col width="52" customWidth="1" min="6" max="6"/>
    <col width="9" customWidth="1" min="7" max="7"/>
  </cols>
  <sheetData>
    <row r="1">
      <c r="A1" s="6" t="inlineStr">
        <is>
          <t>התקדמות:</t>
        </is>
      </c>
      <c r="B1" s="7" t="inlineStr">
        <is>
          <t>הושלמו</t>
        </is>
      </c>
      <c r="C1" s="7">
        <f>COUNTIF(G4:G147,"✓")</f>
        <v/>
      </c>
      <c r="D1" s="7" t="inlineStr">
        <is>
          <t>מתוך</t>
        </is>
      </c>
      <c r="E1" s="7">
        <f>COUNTA(A4:A147)</f>
        <v/>
      </c>
      <c r="F1" s="7" t="inlineStr">
        <is>
          <t>אחוז</t>
        </is>
      </c>
      <c r="G1" s="8">
        <f>IF(E1=0,0,C1/E1)</f>
        <v/>
      </c>
    </row>
    <row r="3">
      <c r="A3" s="1" t="inlineStr">
        <is>
          <t>פרק</t>
        </is>
      </c>
      <c r="B3" s="1" t="inlineStr">
        <is>
          <t>נושא</t>
        </is>
      </c>
      <c r="C3" s="1" t="inlineStr">
        <is>
          <t>פאזה</t>
        </is>
      </c>
      <c r="D3" s="1" t="inlineStr">
        <is>
          <t>צפיפות</t>
        </is>
      </c>
      <c r="E3" s="1" t="inlineStr">
        <is>
          <t>שבוע</t>
        </is>
      </c>
      <c r="F3" s="1" t="inlineStr">
        <is>
          <t>מדריך קריאה (עמודים בספרים)</t>
        </is>
      </c>
      <c r="G3" s="1" t="inlineStr">
        <is>
          <t>הושלם</t>
        </is>
      </c>
    </row>
    <row r="4">
      <c r="A4" s="9" t="n">
        <v>1</v>
      </c>
      <c r="B4" s="10" t="inlineStr">
        <is>
          <t>בדיקת ילד ומתבגר</t>
        </is>
      </c>
      <c r="C4" s="9" t="inlineStr">
        <is>
          <t>1. Foundations</t>
        </is>
      </c>
      <c r="D4" s="9" t="inlineStr">
        <is>
          <t>גבוהה</t>
        </is>
      </c>
      <c r="E4" s="9" t="n">
        <v>1</v>
      </c>
      <c r="F4" s="10" t="inlineStr">
        <is>
          <t>Dulcan: פרק 1+4+5, עמ' 3-16, 59-90
Synopsis: פרק 1 (ספרות מחייבת)</t>
        </is>
      </c>
      <c r="G4" s="9" t="inlineStr"/>
    </row>
    <row r="5">
      <c r="A5" s="9" t="n">
        <v>2</v>
      </c>
      <c r="B5" s="10" t="inlineStr">
        <is>
          <t>יסודות נוירואנטומיה לפסיכיאטר</t>
        </is>
      </c>
      <c r="C5" s="9" t="inlineStr">
        <is>
          <t>1. Foundations</t>
        </is>
      </c>
      <c r="D5" s="9" t="inlineStr">
        <is>
          <t>גבוהה</t>
        </is>
      </c>
      <c r="E5" s="9" t="n">
        <v>1</v>
      </c>
      <c r="F5" s="10" t="inlineStr">
        <is>
          <t>Dulcan: פרק 6, עמ' 91-106
Stahl Essential: פרק 1, עמ' 1-28
כרטיסיות: עמ' 283-285</t>
        </is>
      </c>
      <c r="G5" s="9" t="inlineStr"/>
    </row>
    <row r="6">
      <c r="A6" s="9" t="n">
        <v>3</v>
      </c>
      <c r="B6" s="10" t="inlineStr">
        <is>
          <t>סקירה: נוירוטרנסמיטרים</t>
        </is>
      </c>
      <c r="C6" s="9" t="inlineStr">
        <is>
          <t>1. Foundations</t>
        </is>
      </c>
      <c r="D6" s="9" t="inlineStr">
        <is>
          <t>גבוהה</t>
        </is>
      </c>
      <c r="E6" s="9" t="n">
        <v>1</v>
      </c>
      <c r="F6" s="10" t="inlineStr">
        <is>
          <t>Stahl Essential: פרק 1+2, עמ' 1-50
Synopsis: פרק 33 (ספרות מחייבת)
כרטיסיות: עמ' 281-282</t>
        </is>
      </c>
      <c r="G6" s="9" t="inlineStr"/>
    </row>
    <row r="7">
      <c r="A7" s="9" t="n">
        <v>4</v>
      </c>
      <c r="B7" s="10" t="inlineStr">
        <is>
          <t>מסלולי דופמין</t>
        </is>
      </c>
      <c r="C7" s="9" t="inlineStr">
        <is>
          <t>1. Foundations</t>
        </is>
      </c>
      <c r="D7" s="9" t="inlineStr">
        <is>
          <t>גבוהה</t>
        </is>
      </c>
      <c r="E7" s="9" t="n">
        <v>1</v>
      </c>
      <c r="F7" s="10" t="inlineStr">
        <is>
          <t>Stahl Essential: פרק 4, עמ' 77-158
כרטיסיות: עמ' 281-282</t>
        </is>
      </c>
      <c r="G7" s="9" t="inlineStr"/>
    </row>
    <row r="8">
      <c r="A8" s="9" t="n">
        <v>5</v>
      </c>
      <c r="B8" s="10" t="inlineStr">
        <is>
          <t>מערכת הסרוטונין</t>
        </is>
      </c>
      <c r="C8" s="9" t="inlineStr">
        <is>
          <t>1. Foundations</t>
        </is>
      </c>
      <c r="D8" s="9" t="inlineStr">
        <is>
          <t>גבוהה</t>
        </is>
      </c>
      <c r="E8" s="9" t="n">
        <v>1</v>
      </c>
      <c r="F8" s="10" t="inlineStr">
        <is>
          <t>Stahl Essential: פרק 5, עמ' 159-243
כרטיסיות: עמ' 281-282</t>
        </is>
      </c>
      <c r="G8" s="9" t="inlineStr"/>
    </row>
    <row r="9">
      <c r="A9" s="9" t="n">
        <v>6</v>
      </c>
      <c r="B9" s="10" t="inlineStr">
        <is>
          <t>מערכת הנוראפינפרין</t>
        </is>
      </c>
      <c r="C9" s="9" t="inlineStr">
        <is>
          <t>1. Foundations</t>
        </is>
      </c>
      <c r="D9" s="9" t="inlineStr">
        <is>
          <t>בינונית</t>
        </is>
      </c>
      <c r="E9" s="9" t="n">
        <v>1</v>
      </c>
      <c r="F9" s="10" t="inlineStr">
        <is>
          <t>Stahl Essential: פרק 6, עמ' 244-282
כרטיסיות: עמ' 281-282</t>
        </is>
      </c>
      <c r="G9" s="9" t="inlineStr"/>
    </row>
    <row r="10">
      <c r="A10" s="9" t="n">
        <v>7</v>
      </c>
      <c r="B10" s="10" t="inlineStr">
        <is>
          <t>איזון GABA / גלוטמט</t>
        </is>
      </c>
      <c r="C10" s="9" t="inlineStr">
        <is>
          <t>1. Foundations</t>
        </is>
      </c>
      <c r="D10" s="9" t="inlineStr">
        <is>
          <t>גבוהה</t>
        </is>
      </c>
      <c r="E10" s="9" t="n">
        <v>1</v>
      </c>
      <c r="F10" s="10" t="inlineStr">
        <is>
          <t>Stahl Essential: פרק 3+6, עמ' 51-76, 244-282
כרטיסיות: עמ' 281-282</t>
        </is>
      </c>
      <c r="G10" s="9" t="inlineStr"/>
    </row>
    <row r="11">
      <c r="A11" s="9" t="n">
        <v>8</v>
      </c>
      <c r="B11" s="10" t="inlineStr">
        <is>
          <t>התפתחות נורמטיבית: גיל הינקות (0-2)</t>
        </is>
      </c>
      <c r="C11" s="9" t="inlineStr">
        <is>
          <t>1. Foundations</t>
        </is>
      </c>
      <c r="D11" s="9" t="inlineStr">
        <is>
          <t>בינונית</t>
        </is>
      </c>
      <c r="E11" s="9" t="n">
        <v>1</v>
      </c>
      <c r="F11" s="10" t="inlineStr">
        <is>
          <t>Dulcan: פרק 2, עמ' 17-38
Synopsis: פרק 32 (ספרות מחייבת)
כרטיסיות: עמ' 300, 304-307</t>
        </is>
      </c>
      <c r="G11" s="9" t="inlineStr"/>
    </row>
    <row r="12">
      <c r="A12" s="9" t="n">
        <v>9</v>
      </c>
      <c r="B12" s="10" t="inlineStr">
        <is>
          <t>התפתחות נורמטיבית: גיל הגן (2-5)</t>
        </is>
      </c>
      <c r="C12" s="9" t="inlineStr">
        <is>
          <t>1. Foundations</t>
        </is>
      </c>
      <c r="D12" s="9" t="inlineStr">
        <is>
          <t>בינונית</t>
        </is>
      </c>
      <c r="E12" s="9" t="n">
        <v>1</v>
      </c>
      <c r="F12" s="10" t="inlineStr">
        <is>
          <t>Dulcan: פרק 3, עמ' 39-58
Synopsis: פרק 32 (ספרות מחייבת)
כרטיסיות: עמ' 302-307</t>
        </is>
      </c>
      <c r="G12" s="9" t="inlineStr"/>
    </row>
    <row r="13">
      <c r="A13" s="9" t="n">
        <v>10</v>
      </c>
      <c r="B13" s="10" t="inlineStr">
        <is>
          <t>התפתחות נורמטיבית: גיל בית ספר (6-12)</t>
        </is>
      </c>
      <c r="C13" s="9" t="inlineStr">
        <is>
          <t>1. Foundations</t>
        </is>
      </c>
      <c r="D13" s="9" t="inlineStr">
        <is>
          <t>בינונית</t>
        </is>
      </c>
      <c r="E13" s="9" t="n">
        <v>1</v>
      </c>
      <c r="F13" s="10" t="inlineStr">
        <is>
          <t>Dulcan: פרק 4, עמ' 59-74
Synopsis: פרק 32 (ספרות מחייבת)
כרטיסיות: עמ' 302-303</t>
        </is>
      </c>
      <c r="G13" s="9" t="inlineStr"/>
    </row>
    <row r="14">
      <c r="A14" s="9" t="n">
        <v>11</v>
      </c>
      <c r="B14" s="10" t="inlineStr">
        <is>
          <t>התפתחות נורמטיבית: גיל ההתבגרות (13-18)</t>
        </is>
      </c>
      <c r="C14" s="9" t="inlineStr">
        <is>
          <t>1. Foundations</t>
        </is>
      </c>
      <c r="D14" s="9" t="inlineStr">
        <is>
          <t>בינונית</t>
        </is>
      </c>
      <c r="E14" s="9" t="n">
        <v>1</v>
      </c>
      <c r="F14" s="10" t="inlineStr">
        <is>
          <t>Dulcan: פרק 5, עמ' 75-90
Synopsis: פרק 32 (ספרות מחייבת)</t>
        </is>
      </c>
      <c r="G14" s="9" t="inlineStr"/>
    </row>
    <row r="15">
      <c r="A15" s="9" t="n">
        <v>12</v>
      </c>
      <c r="B15" s="10" t="inlineStr">
        <is>
          <t>תורת ההתקשרות ומנטליזציה</t>
        </is>
      </c>
      <c r="C15" s="9" t="inlineStr">
        <is>
          <t>1. Foundations</t>
        </is>
      </c>
      <c r="D15" s="9" t="inlineStr">
        <is>
          <t>בינונית</t>
        </is>
      </c>
      <c r="E15" s="9" t="n">
        <v>1</v>
      </c>
      <c r="F15" s="10" t="inlineStr">
        <is>
          <t>Dulcan: פרק 2, עמ' 17-38
Synopsis: פרק 32 (ספרות מחייבת)
כרטיסיות: עמ' 275-277, 304-307
ℹ תיאוריה — מהכרטיסיות ומ-Synopsis; אין פרק ייעודי ב-Dulcan</t>
        </is>
      </c>
      <c r="G15" s="9" t="inlineStr"/>
    </row>
    <row r="16">
      <c r="A16" s="9" t="n">
        <v>13</v>
      </c>
      <c r="B16" s="10" t="inlineStr">
        <is>
          <t>טמפרמנט</t>
        </is>
      </c>
      <c r="C16" s="9" t="inlineStr">
        <is>
          <t>1. Foundations</t>
        </is>
      </c>
      <c r="D16" s="9" t="inlineStr">
        <is>
          <t>נמוכה</t>
        </is>
      </c>
      <c r="E16" s="9" t="n">
        <v>1</v>
      </c>
      <c r="F16" s="10" t="inlineStr">
        <is>
          <t>Synopsis: פרק 32 (ספרות מחייבת)
כרטיסיות: עמ' 301
ℹ תיאוריה — מהכרטיסיות ומ-Synopsis; אין פרק ייעודי ב-Dulcan</t>
        </is>
      </c>
      <c r="G16" s="9" t="inlineStr"/>
    </row>
    <row r="17">
      <c r="A17" s="9" t="n">
        <v>14</v>
      </c>
      <c r="B17" s="10" t="inlineStr">
        <is>
          <t>קריטריונים כלליים להפרעת אישיות</t>
        </is>
      </c>
      <c r="C17" s="9" t="inlineStr">
        <is>
          <t>1. Foundations</t>
        </is>
      </c>
      <c r="D17" s="9" t="inlineStr">
        <is>
          <t>בינונית</t>
        </is>
      </c>
      <c r="E17" s="9" t="n">
        <v>1</v>
      </c>
      <c r="F17" s="10" t="inlineStr">
        <is>
          <t>DSM-5-TR: Personality Disorders, עמ' 733-778
Synopsis: פרק 19, 34 (ספרות מחייבת)</t>
        </is>
      </c>
      <c r="G17" s="9" t="inlineStr"/>
    </row>
    <row r="18">
      <c r="A18" s="9" t="n">
        <v>15</v>
      </c>
      <c r="B18" s="10" t="inlineStr">
        <is>
          <t>מצב רוח, אפקט, טמפרמנט — הערכה קלינית</t>
        </is>
      </c>
      <c r="C18" s="9" t="inlineStr">
        <is>
          <t>1. Foundations</t>
        </is>
      </c>
      <c r="D18" s="9" t="inlineStr">
        <is>
          <t>נמוכה</t>
        </is>
      </c>
      <c r="E18" s="9" t="n">
        <v>1</v>
      </c>
      <c r="F18" s="10" t="inlineStr">
        <is>
          <t>Dulcan: פרק 1, עמ' 3-16</t>
        </is>
      </c>
      <c r="G18" s="9" t="inlineStr"/>
    </row>
    <row r="19">
      <c r="A19" s="9" t="n">
        <v>16</v>
      </c>
      <c r="B19" s="10" t="inlineStr">
        <is>
          <t>עקרונות פסיכופרמקולוגיה בילדים ובמתבגרים</t>
        </is>
      </c>
      <c r="C19" s="9" t="inlineStr">
        <is>
          <t>1. Foundations</t>
        </is>
      </c>
      <c r="D19" s="9" t="inlineStr">
        <is>
          <t>גבוהה</t>
        </is>
      </c>
      <c r="E19" s="9" t="n">
        <v>1</v>
      </c>
      <c r="F19" s="10" t="inlineStr">
        <is>
          <t>Dulcan: פרק 33, עמ' 677-694
כרטיסיות: עמ' 281-282</t>
        </is>
      </c>
      <c r="G19" s="9" t="inlineStr"/>
    </row>
    <row r="20">
      <c r="A20" s="9" t="n">
        <v>17</v>
      </c>
      <c r="B20" s="10" t="inlineStr">
        <is>
          <t>הפרעת קשב וריכוז (ADHD) — ליבה</t>
        </is>
      </c>
      <c r="C20" s="9" t="inlineStr">
        <is>
          <t>2. Neurodevelopmental</t>
        </is>
      </c>
      <c r="D20" s="9" t="inlineStr">
        <is>
          <t>גבוהה</t>
        </is>
      </c>
      <c r="E20" s="9" t="n">
        <v>2</v>
      </c>
      <c r="F20" s="10" t="inlineStr">
        <is>
          <t>Dulcan: פרק 10, עמ' 173-196
DSM-5-TR: Neurodevelopmental, עמ' 35-100
Stahl Essential: פרק 11, עמ' 449-485
כרטיסיות: עמ' 133-144</t>
        </is>
      </c>
      <c r="G20" s="9" t="inlineStr"/>
    </row>
    <row r="21">
      <c r="A21" s="9" t="n">
        <v>18</v>
      </c>
      <c r="B21" s="10" t="inlineStr">
        <is>
          <t>טיפול ב-ADHD: סטימולנטים</t>
        </is>
      </c>
      <c r="C21" s="9" t="inlineStr">
        <is>
          <t>2. Neurodevelopmental</t>
        </is>
      </c>
      <c r="D21" s="9" t="inlineStr">
        <is>
          <t>גבוהה</t>
        </is>
      </c>
      <c r="E21" s="9" t="n">
        <v>2</v>
      </c>
      <c r="F21" s="10" t="inlineStr">
        <is>
          <t>Dulcan: פרק 34, עמ' 695-728
Stahl Essential: פרק 11, עמ' 449-485
Stahl C&amp;A: amphetamine-d, amphetamine-d,l, lisdexamfetamine, methylphenidate-d, methylphenidate-d,l (עמ' 1-36, 269-284, 313-350)
כרטיסיות: עמ' 133-144</t>
        </is>
      </c>
      <c r="G21" s="9" t="inlineStr"/>
    </row>
    <row r="22">
      <c r="A22" s="9" t="n">
        <v>19</v>
      </c>
      <c r="B22" s="10" t="inlineStr">
        <is>
          <t>טיפול ב-ADHD: לא-סטימולנטים</t>
        </is>
      </c>
      <c r="C22" s="9" t="inlineStr">
        <is>
          <t>2. Neurodevelopmental</t>
        </is>
      </c>
      <c r="D22" s="9" t="inlineStr">
        <is>
          <t>בינונית</t>
        </is>
      </c>
      <c r="E22" s="9" t="n">
        <v>2</v>
      </c>
      <c r="F22" s="10" t="inlineStr">
        <is>
          <t>Dulcan: פרק 34, עמ' 695-728
Stahl Essential: פרק 11, עמ' 449-485
Stahl C&amp;A: atomoxetine, clonidine, guanfacine, bupropion (עמ' 69-96, 141-154, 243-254)
כרטיסיות: עמ' 133-144</t>
        </is>
      </c>
      <c r="G22" s="9" t="inlineStr"/>
    </row>
    <row r="23">
      <c r="A23" s="9" t="n">
        <v>20</v>
      </c>
      <c r="B23" s="10" t="inlineStr">
        <is>
          <t>הפרעה אוטיסטית (ASD)</t>
        </is>
      </c>
      <c r="C23" s="9" t="inlineStr">
        <is>
          <t>2. Neurodevelopmental</t>
        </is>
      </c>
      <c r="D23" s="9" t="inlineStr">
        <is>
          <t>גבוהה</t>
        </is>
      </c>
      <c r="E23" s="9" t="n">
        <v>2</v>
      </c>
      <c r="F23" s="10" t="inlineStr">
        <is>
          <t>Dulcan: פרק 8, עמ' 135-156
DSM-5-TR: Neurodevelopmental, עמ' 35-100
כרטיסיות: עמ' 145-156</t>
        </is>
      </c>
      <c r="G23" s="9" t="inlineStr"/>
    </row>
    <row r="24">
      <c r="A24" s="9" t="n">
        <v>21</v>
      </c>
      <c r="B24" s="10" t="inlineStr">
        <is>
          <t>מוגבלות שכלית התפתחותית</t>
        </is>
      </c>
      <c r="C24" s="9" t="inlineStr">
        <is>
          <t>2. Neurodevelopmental</t>
        </is>
      </c>
      <c r="D24" s="9" t="inlineStr">
        <is>
          <t>גבוהה</t>
        </is>
      </c>
      <c r="E24" s="9" t="n">
        <v>2</v>
      </c>
      <c r="F24" s="10" t="inlineStr">
        <is>
          <t>Dulcan: פרק 7, עמ' 107-134
DSM-5-TR: Neurodevelopmental, עמ' 35-100
כרטיסיות: עמ' 160-162</t>
        </is>
      </c>
      <c r="G24" s="9" t="inlineStr"/>
    </row>
    <row r="25">
      <c r="A25" s="9" t="n">
        <v>22</v>
      </c>
      <c r="B25" s="10" t="inlineStr">
        <is>
          <t>הפרעות למידה ספציפיות (SLD)</t>
        </is>
      </c>
      <c r="C25" s="9" t="inlineStr">
        <is>
          <t>2. Neurodevelopmental</t>
        </is>
      </c>
      <c r="D25" s="9" t="inlineStr">
        <is>
          <t>בינונית</t>
        </is>
      </c>
      <c r="E25" s="9" t="n">
        <v>2</v>
      </c>
      <c r="F25" s="10" t="inlineStr">
        <is>
          <t>Dulcan: פרק 9, עמ' 157-172
DSM-5-TR: Neurodevelopmental, עמ' 35-100
כרטיסיות: עמ' 157-159</t>
        </is>
      </c>
      <c r="G25" s="9" t="inlineStr"/>
    </row>
    <row r="26">
      <c r="A26" s="9" t="n">
        <v>23</v>
      </c>
      <c r="B26" s="10" t="inlineStr">
        <is>
          <t>הפרעות תקשורת (שפה, הפקת דיבור, גמגום, פרגמטי)</t>
        </is>
      </c>
      <c r="C26" s="9" t="inlineStr">
        <is>
          <t>2. Neurodevelopmental</t>
        </is>
      </c>
      <c r="D26" s="9" t="inlineStr">
        <is>
          <t>בינונית</t>
        </is>
      </c>
      <c r="E26" s="9" t="n">
        <v>2</v>
      </c>
      <c r="F26" s="10" t="inlineStr">
        <is>
          <t>Dulcan: פרק 9, עמ' 157-172
DSM-5-TR: Neurodevelopmental, עמ' 35-100
כרטיסיות: עמ' 176-180</t>
        </is>
      </c>
      <c r="G26" s="9" t="inlineStr"/>
    </row>
    <row r="27">
      <c r="A27" s="9" t="n">
        <v>24</v>
      </c>
      <c r="B27" s="10" t="inlineStr">
        <is>
          <t>הפרעות טיקים ותסמונת טורט</t>
        </is>
      </c>
      <c r="C27" s="9" t="inlineStr">
        <is>
          <t>2. Neurodevelopmental</t>
        </is>
      </c>
      <c r="D27" s="9" t="inlineStr">
        <is>
          <t>בינונית</t>
        </is>
      </c>
      <c r="E27" s="9" t="n">
        <v>2</v>
      </c>
      <c r="F27" s="10" t="inlineStr">
        <is>
          <t>Dulcan: פרק 20, עמ' 437-456
DSM-5-TR: Neurodevelopmental, עמ' 35-100
כרטיסיות: עמ' 169-175</t>
        </is>
      </c>
      <c r="G27" s="9" t="inlineStr"/>
    </row>
    <row r="28">
      <c r="A28" s="9" t="n">
        <v>25</v>
      </c>
      <c r="B28" s="10" t="inlineStr">
        <is>
          <t>הפרעות תנועה סטראוטיפיות + Dyspraxia</t>
        </is>
      </c>
      <c r="C28" s="9" t="inlineStr">
        <is>
          <t>2. Neurodevelopmental</t>
        </is>
      </c>
      <c r="D28" s="9" t="inlineStr">
        <is>
          <t>נמוכה</t>
        </is>
      </c>
      <c r="E28" s="9" t="n">
        <v>2</v>
      </c>
      <c r="F28" s="10" t="inlineStr">
        <is>
          <t>Dulcan: פרק 9, עמ' 157-172
DSM-5-TR: Neurodevelopmental, עמ' 35-100
כרטיסיות: עמ' 163-168</t>
        </is>
      </c>
      <c r="G28" s="9" t="inlineStr"/>
    </row>
    <row r="29">
      <c r="A29" s="9" t="n">
        <v>26</v>
      </c>
      <c r="B29" s="10" t="inlineStr">
        <is>
          <t>ID — Down + Fragile X</t>
        </is>
      </c>
      <c r="C29" s="9" t="inlineStr">
        <is>
          <t>2. Neurodevelopmental</t>
        </is>
      </c>
      <c r="D29" s="9" t="inlineStr">
        <is>
          <t>בינונית</t>
        </is>
      </c>
      <c r="E29" s="9" t="n">
        <v>2</v>
      </c>
      <c r="F29" s="10" t="inlineStr">
        <is>
          <t>Dulcan: פרק 7, עמ' 107-134
כרטיסיות: עמ' 287-292</t>
        </is>
      </c>
      <c r="G29" s="9" t="inlineStr"/>
    </row>
    <row r="30">
      <c r="A30" s="9" t="n">
        <v>27</v>
      </c>
      <c r="B30" s="10" t="inlineStr">
        <is>
          <t>הפרעות נוירו-התפתחותיות נוספות</t>
        </is>
      </c>
      <c r="C30" s="9" t="inlineStr">
        <is>
          <t>2. Neurodevelopmental</t>
        </is>
      </c>
      <c r="D30" s="9" t="inlineStr">
        <is>
          <t>בינונית</t>
        </is>
      </c>
      <c r="E30" s="9" t="n">
        <v>2</v>
      </c>
      <c r="F30" s="10" t="inlineStr">
        <is>
          <t>Dulcan: פרק 7+8, עמ' 107-156
כרטיסיות: עמ' 287-292</t>
        </is>
      </c>
      <c r="G30" s="9" t="inlineStr"/>
    </row>
    <row r="31">
      <c r="A31" s="9" t="n">
        <v>28</v>
      </c>
      <c r="B31" s="10" t="inlineStr">
        <is>
          <t>הפרעת דיכאון מז'ורית (MDD)</t>
        </is>
      </c>
      <c r="C31" s="9" t="inlineStr">
        <is>
          <t>3. Mood and Anxiety</t>
        </is>
      </c>
      <c r="D31" s="9" t="inlineStr">
        <is>
          <t>גבוהה</t>
        </is>
      </c>
      <c r="E31" s="9" t="n">
        <v>2</v>
      </c>
      <c r="F31" s="10" t="inlineStr">
        <is>
          <t>Dulcan: פרק 13, עמ' 245-278
DSM-5-TR: Depressive, עמ' 177-214
Stahl Essential: פרק 6+7, עמ' 244-358
Synopsis: פרק 7 (ספרות מחייבת)
כרטיסיות: עמ' 4-15</t>
        </is>
      </c>
      <c r="G31" s="9" t="inlineStr"/>
    </row>
    <row r="32">
      <c r="A32" s="9" t="n">
        <v>29</v>
      </c>
      <c r="B32" s="10" t="inlineStr">
        <is>
          <t>SSRI לעומק</t>
        </is>
      </c>
      <c r="C32" s="9" t="inlineStr">
        <is>
          <t>3. Mood and Anxiety</t>
        </is>
      </c>
      <c r="D32" s="9" t="inlineStr">
        <is>
          <t>גבוהה</t>
        </is>
      </c>
      <c r="E32" s="9" t="n">
        <v>2</v>
      </c>
      <c r="F32" s="10" t="inlineStr">
        <is>
          <t>Dulcan: פרק 35, עמ' 729-762
Stahl Essential: פרק 7, עמ' 283-358
Stahl C&amp;A: citalopram, escitalopram, fluoxetine, fluvoxamine, paroxetine, sertraline (עמ' 111-124, 185-214, 229-242, 381-396, 439-452)
כרטיסיות: עמ' 4-15</t>
        </is>
      </c>
      <c r="G32" s="9" t="inlineStr"/>
    </row>
    <row r="33">
      <c r="A33" s="9" t="n">
        <v>30</v>
      </c>
      <c r="B33" s="10" t="inlineStr">
        <is>
          <t>SNRI + נוגדי דיכאון אטיפיים</t>
        </is>
      </c>
      <c r="C33" s="9" t="inlineStr">
        <is>
          <t>3. Mood and Anxiety</t>
        </is>
      </c>
      <c r="D33" s="9" t="inlineStr">
        <is>
          <t>גבוהה</t>
        </is>
      </c>
      <c r="E33" s="9" t="n">
        <v>2</v>
      </c>
      <c r="F33" s="10" t="inlineStr">
        <is>
          <t>Dulcan: פרק 35, עמ' 729-762
Stahl Essential: פרק 7, עמ' 283-358
Stahl C&amp;A: duloxetine, venlafaxine, bupropion, trazodone (עמ' 83-96, 171-184, 453-464, 479-492)
כרטיסיות: עמ' 4-15</t>
        </is>
      </c>
      <c r="G33" s="9" t="inlineStr"/>
    </row>
    <row r="34">
      <c r="A34" s="9" t="n">
        <v>31</v>
      </c>
      <c r="B34" s="10" t="inlineStr">
        <is>
          <t>TCA + MAOI</t>
        </is>
      </c>
      <c r="C34" s="9" t="inlineStr">
        <is>
          <t>3. Mood and Anxiety</t>
        </is>
      </c>
      <c r="D34" s="9" t="inlineStr">
        <is>
          <t>בינונית</t>
        </is>
      </c>
      <c r="E34" s="9" t="n">
        <v>2</v>
      </c>
      <c r="F34" s="10" t="inlineStr">
        <is>
          <t>Dulcan: פרק 35, עמ' 729-762
Stahl Essential: פרק 7, עמ' 283-358
Stahl C&amp;A: clomipramine (עמ' 125-140)
כרטיסיות: עמ' 4-15</t>
        </is>
      </c>
      <c r="G34" s="9" t="inlineStr"/>
    </row>
    <row r="35">
      <c r="A35" s="9" t="n">
        <v>32</v>
      </c>
      <c r="B35" s="10" t="inlineStr">
        <is>
          <t>PDD + DMDD + PMDD</t>
        </is>
      </c>
      <c r="C35" s="9" t="inlineStr">
        <is>
          <t>3. Mood and Anxiety</t>
        </is>
      </c>
      <c r="D35" s="9" t="inlineStr">
        <is>
          <t>בינונית</t>
        </is>
      </c>
      <c r="E35" s="9" t="n">
        <v>2</v>
      </c>
      <c r="F35" s="10" t="inlineStr">
        <is>
          <t>Dulcan: פרק 13, עמ' 245-278
DSM-5-TR: Depressive, עמ' 177-214
Synopsis: פרק 7 (ספרות מחייבת)
כרטיסיות: עמ' 4-15, 21-22</t>
        </is>
      </c>
      <c r="G35" s="9" t="inlineStr"/>
    </row>
    <row r="36">
      <c r="A36" s="9" t="n">
        <v>33</v>
      </c>
      <c r="B36" s="10" t="inlineStr">
        <is>
          <t>הפרעה דו-קוטבית I</t>
        </is>
      </c>
      <c r="C36" s="9" t="inlineStr">
        <is>
          <t>3. Mood and Anxiety</t>
        </is>
      </c>
      <c r="D36" s="9" t="inlineStr">
        <is>
          <t>גבוהה</t>
        </is>
      </c>
      <c r="E36" s="9" t="n">
        <v>2</v>
      </c>
      <c r="F36" s="10" t="inlineStr">
        <is>
          <t>Dulcan: פרק 14, עמ' 279-308
DSM-5-TR: Bipolar, עמ' 139-176
Stahl Essential: פרק 6+7, עמ' 244-358
כרטיסיות: עמ' 23-34</t>
        </is>
      </c>
      <c r="G36" s="9" t="inlineStr"/>
    </row>
    <row r="37">
      <c r="A37" s="9" t="n">
        <v>34</v>
      </c>
      <c r="B37" s="10" t="inlineStr">
        <is>
          <t>Bipolar II + Cyclothymia + bipolar בילדים</t>
        </is>
      </c>
      <c r="C37" s="9" t="inlineStr">
        <is>
          <t>3. Mood and Anxiety</t>
        </is>
      </c>
      <c r="D37" s="9" t="inlineStr">
        <is>
          <t>בינונית</t>
        </is>
      </c>
      <c r="E37" s="9" t="n">
        <v>3</v>
      </c>
      <c r="F37" s="10" t="inlineStr">
        <is>
          <t>Dulcan: פרק 14, עמ' 279-308
DSM-5-TR: Bipolar, עמ' 139-176
כרטיסיות: עמ' 23-34</t>
        </is>
      </c>
      <c r="G37" s="9" t="inlineStr"/>
    </row>
    <row r="38">
      <c r="A38" s="9" t="n">
        <v>35</v>
      </c>
      <c r="B38" s="10" t="inlineStr">
        <is>
          <t>ליתיום</t>
        </is>
      </c>
      <c r="C38" s="9" t="inlineStr">
        <is>
          <t>3. Mood and Anxiety</t>
        </is>
      </c>
      <c r="D38" s="9" t="inlineStr">
        <is>
          <t>גבוהה</t>
        </is>
      </c>
      <c r="E38" s="9" t="n">
        <v>3</v>
      </c>
      <c r="F38" s="10" t="inlineStr">
        <is>
          <t>Dulcan: פרק 36, עמ' 763-784
Stahl Essential: פרק 7, עמ' 283-358
Stahl C&amp;A: lithium (עמ' 285-298)
כרטיסיות: עמ' 23-34</t>
        </is>
      </c>
      <c r="G38" s="9" t="inlineStr"/>
    </row>
    <row r="39">
      <c r="A39" s="9" t="n">
        <v>36</v>
      </c>
      <c r="B39" s="10" t="inlineStr">
        <is>
          <t>מייצבי מצב רוח: Valproate, Lamotrigine, Carbamazepine</t>
        </is>
      </c>
      <c r="C39" s="9" t="inlineStr">
        <is>
          <t>3. Mood and Anxiety</t>
        </is>
      </c>
      <c r="D39" s="9" t="inlineStr">
        <is>
          <t>גבוהה</t>
        </is>
      </c>
      <c r="E39" s="9" t="n">
        <v>3</v>
      </c>
      <c r="F39" s="10" t="inlineStr">
        <is>
          <t>Dulcan: פרק 36, עמ' 763-784
Stahl Essential: פרק 7, עמ' 283-358
Stahl C&amp;A: valproate (עמ' 465-478)
כרטיסיות: עמ' 23-34</t>
        </is>
      </c>
      <c r="G39" s="9" t="inlineStr"/>
    </row>
    <row r="40">
      <c r="A40" s="9" t="n">
        <v>37</v>
      </c>
      <c r="B40" s="10" t="inlineStr">
        <is>
          <t>ילדים: DMDD מול ביפולר; אובדנות נער</t>
        </is>
      </c>
      <c r="C40" s="9" t="inlineStr">
        <is>
          <t>3. Mood and Anxiety</t>
        </is>
      </c>
      <c r="D40" s="9" t="inlineStr">
        <is>
          <t>גבוהה</t>
        </is>
      </c>
      <c r="E40" s="9" t="n">
        <v>3</v>
      </c>
      <c r="F40" s="10" t="inlineStr">
        <is>
          <t>Dulcan: פרק 13+14+26, עמ' 245-308, 551-564
כרטיסיות: עמ' 16-34</t>
        </is>
      </c>
      <c r="G40" s="9" t="inlineStr"/>
    </row>
    <row r="41">
      <c r="A41" s="9" t="n">
        <v>38</v>
      </c>
      <c r="B41" s="10" t="inlineStr">
        <is>
          <t>הפרעת חרדה מוכללת (GAD)</t>
        </is>
      </c>
      <c r="C41" s="9" t="inlineStr">
        <is>
          <t>3. Mood and Anxiety</t>
        </is>
      </c>
      <c r="D41" s="9" t="inlineStr">
        <is>
          <t>בינונית</t>
        </is>
      </c>
      <c r="E41" s="9" t="n">
        <v>3</v>
      </c>
      <c r="F41" s="10" t="inlineStr">
        <is>
          <t>Dulcan: פרק 15, עמ' 309-344
DSM-5-TR: Anxiety, עמ' 215-262
Stahl Essential: פרק 8, עמ' 359-378
כרטיסיות: עמ' 57</t>
        </is>
      </c>
      <c r="G41" s="9" t="inlineStr"/>
    </row>
    <row r="42">
      <c r="A42" s="9" t="n">
        <v>39</v>
      </c>
      <c r="B42" s="10" t="inlineStr">
        <is>
          <t>הפרעת פאניקה + אגורופוביה</t>
        </is>
      </c>
      <c r="C42" s="9" t="inlineStr">
        <is>
          <t>3. Mood and Anxiety</t>
        </is>
      </c>
      <c r="D42" s="9" t="inlineStr">
        <is>
          <t>בינונית</t>
        </is>
      </c>
      <c r="E42" s="9" t="n">
        <v>3</v>
      </c>
      <c r="F42" s="10" t="inlineStr">
        <is>
          <t>Dulcan: פרק 15, עמ' 309-344
DSM-5-TR: Anxiety, עמ' 215-262
Stahl Essential: פרק 8, עמ' 359-378
כרטיסיות: עמ' 59-60</t>
        </is>
      </c>
      <c r="G42" s="9" t="inlineStr"/>
    </row>
    <row r="43">
      <c r="A43" s="9" t="n">
        <v>40</v>
      </c>
      <c r="B43" s="10" t="inlineStr">
        <is>
          <t>חרדה חברתית + Selective Mutism</t>
        </is>
      </c>
      <c r="C43" s="9" t="inlineStr">
        <is>
          <t>3. Mood and Anxiety</t>
        </is>
      </c>
      <c r="D43" s="9" t="inlineStr">
        <is>
          <t>נמוכה</t>
        </is>
      </c>
      <c r="E43" s="9" t="n">
        <v>3</v>
      </c>
      <c r="F43" s="10" t="inlineStr">
        <is>
          <t>Dulcan: פרק 15, עמ' 309-344
DSM-5-TR: Anxiety, עמ' 215-262
כרטיסיות: עמ' 53, 58</t>
        </is>
      </c>
      <c r="G43" s="9" t="inlineStr"/>
    </row>
    <row r="44">
      <c r="A44" s="9" t="n">
        <v>41</v>
      </c>
      <c r="B44" s="10" t="inlineStr">
        <is>
          <t>חרדת פרידה + פוביה ספציפית</t>
        </is>
      </c>
      <c r="C44" s="9" t="inlineStr">
        <is>
          <t>3. Mood and Anxiety</t>
        </is>
      </c>
      <c r="D44" s="9" t="inlineStr">
        <is>
          <t>נמוכה</t>
        </is>
      </c>
      <c r="E44" s="9" t="n">
        <v>3</v>
      </c>
      <c r="F44" s="10" t="inlineStr">
        <is>
          <t>Dulcan: פרק 15, עמ' 309-344
DSM-5-TR: Anxiety, עמ' 215-262
כרטיסיות: עמ' 54-56</t>
        </is>
      </c>
      <c r="G44" s="9" t="inlineStr"/>
    </row>
    <row r="45">
      <c r="A45" s="9" t="n">
        <v>42</v>
      </c>
      <c r="B45" s="10" t="inlineStr">
        <is>
          <t>BZD + Buspirone + סקירת אנקסיוליטים</t>
        </is>
      </c>
      <c r="C45" s="9" t="inlineStr">
        <is>
          <t>3. Mood and Anxiety</t>
        </is>
      </c>
      <c r="D45" s="9" t="inlineStr">
        <is>
          <t>גבוהה</t>
        </is>
      </c>
      <c r="E45" s="9" t="n">
        <v>3</v>
      </c>
      <c r="F45" s="10" t="inlineStr">
        <is>
          <t>Stahl Essential: פרק 8+10, עמ' 359-378, 401-448
כרטיסיות: עמ' 61-64</t>
        </is>
      </c>
      <c r="G45" s="9" t="inlineStr"/>
    </row>
    <row r="46">
      <c r="A46" s="9" t="n">
        <v>43</v>
      </c>
      <c r="B46" s="10" t="inlineStr">
        <is>
          <t>OCD — ליבה</t>
        </is>
      </c>
      <c r="C46" s="9" t="inlineStr">
        <is>
          <t>4. OCD and Trauma</t>
        </is>
      </c>
      <c r="D46" s="9" t="inlineStr">
        <is>
          <t>גבוהה</t>
        </is>
      </c>
      <c r="E46" s="9" t="n">
        <v>3</v>
      </c>
      <c r="F46" s="10" t="inlineStr">
        <is>
          <t>Dulcan: פרק 17, עמ' 365-388
DSM-5-TR: Obsessive-Compulsive, עמ' 263-294
Stahl Essential: פרק 13, עמ' 538-578
Synopsis: פרק 9 (ספרות מחייבת)
כרטיסיות: עמ' 84-89</t>
        </is>
      </c>
      <c r="G46" s="9" t="inlineStr"/>
    </row>
    <row r="47">
      <c r="A47" s="9" t="n">
        <v>44</v>
      </c>
      <c r="B47" s="10" t="inlineStr">
        <is>
          <t>טיפול ב-OCD: ERP + SSRI מינון גבוה</t>
        </is>
      </c>
      <c r="C47" s="9" t="inlineStr">
        <is>
          <t>4. OCD and Trauma</t>
        </is>
      </c>
      <c r="D47" s="9" t="inlineStr">
        <is>
          <t>בינונית</t>
        </is>
      </c>
      <c r="E47" s="9" t="n">
        <v>3</v>
      </c>
      <c r="F47" s="10" t="inlineStr">
        <is>
          <t>Dulcan: פרק 17+43, עמ' 365-388, 967-984
Stahl Essential: פרק 13, עמ' 538-578
כרטיסיות: עמ' 84-89</t>
        </is>
      </c>
      <c r="G47" s="9" t="inlineStr"/>
    </row>
    <row r="48">
      <c r="A48" s="9" t="n">
        <v>45</v>
      </c>
      <c r="B48" s="10" t="inlineStr">
        <is>
          <t>BDD + Hoarding</t>
        </is>
      </c>
      <c r="C48" s="9" t="inlineStr">
        <is>
          <t>4. OCD and Trauma</t>
        </is>
      </c>
      <c r="D48" s="9" t="inlineStr">
        <is>
          <t>נמוכה</t>
        </is>
      </c>
      <c r="E48" s="9" t="n">
        <v>3</v>
      </c>
      <c r="F48" s="10" t="inlineStr">
        <is>
          <t>Dulcan: פרק 17, עמ' 365-388
DSM-5-TR: Obsessive-Compulsive, עמ' 263-294
כרטיסיות: עמ' 90-91</t>
        </is>
      </c>
      <c r="G48" s="9" t="inlineStr"/>
    </row>
    <row r="49">
      <c r="A49" s="9" t="n">
        <v>46</v>
      </c>
      <c r="B49" s="10" t="inlineStr">
        <is>
          <t>Trichotillomania + Excoriation</t>
        </is>
      </c>
      <c r="C49" s="9" t="inlineStr">
        <is>
          <t>4. OCD and Trauma</t>
        </is>
      </c>
      <c r="D49" s="9" t="inlineStr">
        <is>
          <t>נמוכה</t>
        </is>
      </c>
      <c r="E49" s="9" t="n">
        <v>3</v>
      </c>
      <c r="F49" s="10" t="inlineStr">
        <is>
          <t>Dulcan: פרק 17, עמ' 365-388
DSM-5-TR: Obsessive-Compulsive, עמ' 263-294
כרטיסיות: עמ' 92-94</t>
        </is>
      </c>
      <c r="G49" s="9" t="inlineStr"/>
    </row>
    <row r="50">
      <c r="A50" s="9" t="n">
        <v>47</v>
      </c>
      <c r="B50" s="10" t="inlineStr">
        <is>
          <t>PTSD — ליבה</t>
        </is>
      </c>
      <c r="C50" s="9" t="inlineStr">
        <is>
          <t>4. OCD and Trauma</t>
        </is>
      </c>
      <c r="D50" s="9" t="inlineStr">
        <is>
          <t>גבוהה</t>
        </is>
      </c>
      <c r="E50" s="9" t="n">
        <v>3</v>
      </c>
      <c r="F50" s="10" t="inlineStr">
        <is>
          <t>Dulcan: פרק 16, עמ' 345-364
DSM-5-TR: Trauma, עמ' 295-328
Stahl Essential: פרק 8, עמ' 359-378
Synopsis: פרק 10 (ספרות מחייבת)
כרטיסיות: עמ' 100-108</t>
        </is>
      </c>
      <c r="G50" s="9" t="inlineStr"/>
    </row>
    <row r="51">
      <c r="A51" s="9" t="n">
        <v>48</v>
      </c>
      <c r="B51" s="10" t="inlineStr">
        <is>
          <t>טיפול ב-PTSD: Prazosin, SSRI, TF-CBT, EMDR</t>
        </is>
      </c>
      <c r="C51" s="9" t="inlineStr">
        <is>
          <t>4. OCD and Trauma</t>
        </is>
      </c>
      <c r="D51" s="9" t="inlineStr">
        <is>
          <t>בינונית</t>
        </is>
      </c>
      <c r="E51" s="9" t="n">
        <v>3</v>
      </c>
      <c r="F51" s="10" t="inlineStr">
        <is>
          <t>Dulcan: פרק 16, עמ' 345-364
Stahl Essential: פרק 8, עמ' 359-378
כרטיסיות: עמ' 100-108</t>
        </is>
      </c>
      <c r="G51" s="9" t="inlineStr"/>
    </row>
    <row r="52">
      <c r="A52" s="9" t="n">
        <v>49</v>
      </c>
      <c r="B52" s="10" t="inlineStr">
        <is>
          <t>תגובת לחץ חריפה + הפרעת הסתגלות</t>
        </is>
      </c>
      <c r="C52" s="9" t="inlineStr">
        <is>
          <t>4. OCD and Trauma</t>
        </is>
      </c>
      <c r="D52" s="9" t="inlineStr">
        <is>
          <t>נמוכה</t>
        </is>
      </c>
      <c r="E52" s="9" t="n">
        <v>3</v>
      </c>
      <c r="F52" s="10" t="inlineStr">
        <is>
          <t>Dulcan: פרק 16, עמ' 345-364
DSM-5-TR: Trauma, עמ' 295-328
Synopsis: פרק 10 (ספרות מחייבת)
כרטיסיות: עמ' 95-99</t>
        </is>
      </c>
      <c r="G52" s="9" t="inlineStr"/>
    </row>
    <row r="53">
      <c r="A53" s="9" t="n">
        <v>50</v>
      </c>
      <c r="B53" s="10" t="inlineStr">
        <is>
          <t>אבל, שכול והפרעת אבל ממושך</t>
        </is>
      </c>
      <c r="C53" s="9" t="inlineStr">
        <is>
          <t>4. OCD and Trauma</t>
        </is>
      </c>
      <c r="D53" s="9" t="inlineStr">
        <is>
          <t>בינונית</t>
        </is>
      </c>
      <c r="E53" s="9" t="n">
        <v>3</v>
      </c>
      <c r="F53" s="10" t="inlineStr">
        <is>
          <t>Dulcan: פרק 16, עמ' 345-364
DSM-5-TR: Trauma, עמ' 295-328
Synopsis: פרק 10 (ספרות מחייבת)
כרטיסיות: עמ' 95-96</t>
        </is>
      </c>
      <c r="G53" s="9" t="inlineStr"/>
    </row>
    <row r="54">
      <c r="A54" s="9" t="n">
        <v>51</v>
      </c>
      <c r="B54" s="10" t="inlineStr">
        <is>
          <t>התעללות והזנחה בילדים</t>
        </is>
      </c>
      <c r="C54" s="9" t="inlineStr">
        <is>
          <t>4. OCD and Trauma</t>
        </is>
      </c>
      <c r="D54" s="9" t="inlineStr">
        <is>
          <t>גבוהה</t>
        </is>
      </c>
      <c r="E54" s="9" t="n">
        <v>3</v>
      </c>
      <c r="F54" s="10" t="inlineStr">
        <is>
          <t>Dulcan: פרק 24, עמ' 517-538</t>
        </is>
      </c>
      <c r="G54" s="9" t="inlineStr"/>
    </row>
    <row r="55">
      <c r="A55" s="9" t="n">
        <v>52</v>
      </c>
      <c r="B55" s="10" t="inlineStr">
        <is>
          <t>RAD + DSED</t>
        </is>
      </c>
      <c r="C55" s="9" t="inlineStr">
        <is>
          <t>4. OCD and Trauma</t>
        </is>
      </c>
      <c r="D55" s="9" t="inlineStr">
        <is>
          <t>נמוכה</t>
        </is>
      </c>
      <c r="E55" s="9" t="n">
        <v>3</v>
      </c>
      <c r="F55" s="10" t="inlineStr">
        <is>
          <t>Dulcan: פרק 16, עמ' 345-364
DSM-5-TR: Trauma, עמ' 295-328
כרטיסיות: עמ' 109-110</t>
        </is>
      </c>
      <c r="G55" s="9" t="inlineStr"/>
    </row>
    <row r="56">
      <c r="A56" s="9" t="n">
        <v>53</v>
      </c>
      <c r="B56" s="10" t="inlineStr">
        <is>
          <t>הפרעות דיסוציאטיביות</t>
        </is>
      </c>
      <c r="C56" s="9" t="inlineStr">
        <is>
          <t>4. OCD and Trauma</t>
        </is>
      </c>
      <c r="D56" s="9" t="inlineStr">
        <is>
          <t>נמוכה</t>
        </is>
      </c>
      <c r="E56" s="9" t="n">
        <v>4</v>
      </c>
      <c r="F56" s="10" t="inlineStr">
        <is>
          <t>DSM-5-TR: Dissociative, עמ' 329-348
Synopsis: פרק 11 (ספרות מחייבת)
כרטיסיות: עמ' 217-221</t>
        </is>
      </c>
      <c r="G56" s="9" t="inlineStr"/>
    </row>
    <row r="57">
      <c r="A57" s="9" t="n">
        <v>54</v>
      </c>
      <c r="B57" s="10" t="inlineStr">
        <is>
          <t>הפרעות סומטיות + Conversion + Factitious</t>
        </is>
      </c>
      <c r="C57" s="9" t="inlineStr">
        <is>
          <t>4. OCD and Trauma</t>
        </is>
      </c>
      <c r="D57" s="9" t="inlineStr">
        <is>
          <t>בינונית</t>
        </is>
      </c>
      <c r="E57" s="9" t="n">
        <v>4</v>
      </c>
      <c r="F57" s="10" t="inlineStr">
        <is>
          <t>DSM-5-TR: Somatic Symptom, עמ' 349-370
Synopsis: פרק 12 (ספרות מחייבת)</t>
        </is>
      </c>
      <c r="G57" s="9" t="inlineStr"/>
    </row>
    <row r="58">
      <c r="A58" s="9" t="n">
        <v>55</v>
      </c>
      <c r="B58" s="10" t="inlineStr">
        <is>
          <t>סכיזופרניה — ליבה</t>
        </is>
      </c>
      <c r="C58" s="9" t="inlineStr">
        <is>
          <t>5. Psychosis and Antipsychotics</t>
        </is>
      </c>
      <c r="D58" s="9" t="inlineStr">
        <is>
          <t>גבוהה</t>
        </is>
      </c>
      <c r="E58" s="9" t="n">
        <v>4</v>
      </c>
      <c r="F58" s="10" t="inlineStr">
        <is>
          <t>Dulcan: פרק 18, עמ' 389-410
DSM-5-TR: Schizophrenia Spectrum, עמ' 101-138
Stahl Essential: פרק 4, עמ' 77-158
Synopsis: פרק 5 (ספרות מחייבת)
כרטיסיות: עמ' 65-71</t>
        </is>
      </c>
      <c r="G58" s="9" t="inlineStr"/>
    </row>
    <row r="59">
      <c r="A59" s="9" t="n">
        <v>56</v>
      </c>
      <c r="B59" s="10" t="inlineStr">
        <is>
          <t>ניורוביולוגיה של סכיזופרניה</t>
        </is>
      </c>
      <c r="C59" s="9" t="inlineStr">
        <is>
          <t>5. Psychosis and Antipsychotics</t>
        </is>
      </c>
      <c r="D59" s="9" t="inlineStr">
        <is>
          <t>גבוהה</t>
        </is>
      </c>
      <c r="E59" s="9" t="n">
        <v>4</v>
      </c>
      <c r="F59" s="10" t="inlineStr">
        <is>
          <t>Dulcan: פרק 18, עמ' 389-410
Stahl Essential: פרק 4, עמ' 77-158
Synopsis: פרק 5, 33 (ספרות מחייבת)
כרטיסיות: עמ' 65-71, 283-285</t>
        </is>
      </c>
      <c r="G59" s="9" t="inlineStr"/>
    </row>
    <row r="60">
      <c r="A60" s="9" t="n">
        <v>57</v>
      </c>
      <c r="B60" s="10" t="inlineStr">
        <is>
          <t>Schizoaffective + Schizophreniform + Brief Psychotic + Delusional</t>
        </is>
      </c>
      <c r="C60" s="9" t="inlineStr">
        <is>
          <t>5. Psychosis and Antipsychotics</t>
        </is>
      </c>
      <c r="D60" s="9" t="inlineStr">
        <is>
          <t>בינונית</t>
        </is>
      </c>
      <c r="E60" s="9" t="n">
        <v>4</v>
      </c>
      <c r="F60" s="10" t="inlineStr">
        <is>
          <t>Dulcan: פרק 18, עמ' 389-410
DSM-5-TR: Schizophrenia Spectrum, עמ' 101-138
Synopsis: פרק 5 (ספרות מחייבת)
כרטיסיות: עמ' 72-75</t>
        </is>
      </c>
      <c r="G60" s="9" t="inlineStr"/>
    </row>
    <row r="61">
      <c r="A61" s="9" t="n">
        <v>58</v>
      </c>
      <c r="B61" s="10" t="inlineStr">
        <is>
          <t>אנטיפסיכוטיים דור ראשון (FGA)</t>
        </is>
      </c>
      <c r="C61" s="9" t="inlineStr">
        <is>
          <t>5. Psychosis and Antipsychotics</t>
        </is>
      </c>
      <c r="D61" s="9" t="inlineStr">
        <is>
          <t>גבוהה</t>
        </is>
      </c>
      <c r="E61" s="9" t="n">
        <v>4</v>
      </c>
      <c r="F61" s="10" t="inlineStr">
        <is>
          <t>Dulcan: פרק 37, עמ' 785-846
Stahl Essential: פרק 5, עמ' 159-243
Stahl C&amp;A: chlorpromazine, fluphenazine, haloperidol, pimozide (עמ' 97-110, 215-228, 255-268, 397-408)
כרטיסיות: עמ' 76-83</t>
        </is>
      </c>
      <c r="G61" s="9" t="inlineStr"/>
    </row>
    <row r="62">
      <c r="A62" s="9" t="n">
        <v>59</v>
      </c>
      <c r="B62" s="10" t="inlineStr">
        <is>
          <t>אנטיפסיכוטיים דור שני (SGA)</t>
        </is>
      </c>
      <c r="C62" s="9" t="inlineStr">
        <is>
          <t>5. Psychosis and Antipsychotics</t>
        </is>
      </c>
      <c r="D62" s="9" t="inlineStr">
        <is>
          <t>גבוהה</t>
        </is>
      </c>
      <c r="E62" s="9" t="n">
        <v>4</v>
      </c>
      <c r="F62" s="10" t="inlineStr">
        <is>
          <t>Dulcan: פרק 37, עמ' 785-846
Stahl Essential: פרק 5, עמ' 159-243
Stahl C&amp;A: aripiprazole, asenapine, clozapine, lurasidone, olanzapine, paliperidone, quetiapine, risperidone (עמ' 37-68, 155-170, 299-312, 351-380, 409-438)
כרטיסיות: עמ' 76-83</t>
        </is>
      </c>
      <c r="G62" s="9" t="inlineStr"/>
    </row>
    <row r="63">
      <c r="A63" s="9" t="n">
        <v>60</v>
      </c>
      <c r="B63" s="10" t="inlineStr">
        <is>
          <t>Clozapine — קלוזפין לעמיד לטיפול</t>
        </is>
      </c>
      <c r="C63" s="9" t="inlineStr">
        <is>
          <t>5. Psychosis and Antipsychotics</t>
        </is>
      </c>
      <c r="D63" s="9" t="inlineStr">
        <is>
          <t>גבוהה</t>
        </is>
      </c>
      <c r="E63" s="9" t="n">
        <v>4</v>
      </c>
      <c r="F63" s="10" t="inlineStr">
        <is>
          <t>Dulcan: פרק 37, עמ' 785-846
Stahl Essential: פרק 5, עמ' 159-243
Stahl C&amp;A: clozapine (עמ' 155-170)
כרטיסיות: עמ' 76-83</t>
        </is>
      </c>
      <c r="G63" s="9" t="inlineStr"/>
    </row>
    <row r="64">
      <c r="A64" s="9" t="n">
        <v>61</v>
      </c>
      <c r="B64" s="10" t="inlineStr">
        <is>
          <t>אגוניסטים חלקיים: Aripiprazole, Brexpiprazole, Cariprazine</t>
        </is>
      </c>
      <c r="C64" s="9" t="inlineStr">
        <is>
          <t>5. Psychosis and Antipsychotics</t>
        </is>
      </c>
      <c r="D64" s="9" t="inlineStr">
        <is>
          <t>בינונית</t>
        </is>
      </c>
      <c r="E64" s="9" t="n">
        <v>4</v>
      </c>
      <c r="F64" s="10" t="inlineStr">
        <is>
          <t>Dulcan: פרק 37, עמ' 785-846
Stahl Essential: פרק 5, עמ' 159-243
Stahl C&amp;A: aripiprazole (עמ' 37-54)
כרטיסיות: עמ' 76-83</t>
        </is>
      </c>
      <c r="G64" s="9" t="inlineStr"/>
    </row>
    <row r="65">
      <c r="A65" s="9" t="n">
        <v>62</v>
      </c>
      <c r="B65" s="10" t="inlineStr">
        <is>
          <t>SGA מטבוליים: Olanzapine, Quetiapine, Risperidone</t>
        </is>
      </c>
      <c r="C65" s="9" t="inlineStr">
        <is>
          <t>5. Psychosis and Antipsychotics</t>
        </is>
      </c>
      <c r="D65" s="9" t="inlineStr">
        <is>
          <t>בינונית</t>
        </is>
      </c>
      <c r="E65" s="9" t="n">
        <v>4</v>
      </c>
      <c r="F65" s="10" t="inlineStr">
        <is>
          <t>Dulcan: פרק 37, עמ' 785-846
Stahl Essential: פרק 5, עמ' 159-243
Stahl C&amp;A: olanzapine, quetiapine, risperidone (עמ' 351-366, 409-438)
כרטיסיות: עמ' 76-83</t>
        </is>
      </c>
      <c r="G65" s="9" t="inlineStr"/>
    </row>
    <row r="66">
      <c r="A66" s="9" t="n">
        <v>63</v>
      </c>
      <c r="B66" s="10" t="inlineStr">
        <is>
          <t>SGA לא-מטבוליים: Lurasidone, Ziprasidone, Lumateperone</t>
        </is>
      </c>
      <c r="C66" s="9" t="inlineStr">
        <is>
          <t>5. Psychosis and Antipsychotics</t>
        </is>
      </c>
      <c r="D66" s="9" t="inlineStr">
        <is>
          <t>בינונית</t>
        </is>
      </c>
      <c r="E66" s="9" t="n">
        <v>4</v>
      </c>
      <c r="F66" s="10" t="inlineStr">
        <is>
          <t>Dulcan: פרק 37, עמ' 785-846
Stahl Essential: פרק 5, עמ' 159-243
Stahl C&amp;A: lurasidone (עמ' 299-312)
כרטיסיות: עמ' 76-83</t>
        </is>
      </c>
      <c r="G66" s="9" t="inlineStr"/>
    </row>
    <row r="67">
      <c r="A67" s="9" t="n">
        <v>64</v>
      </c>
      <c r="B67" s="10" t="inlineStr">
        <is>
          <t>זריקות אנטיפסיכוטיות ארוכות-טווח (LAI)</t>
        </is>
      </c>
      <c r="C67" s="9" t="inlineStr">
        <is>
          <t>5. Psychosis and Antipsychotics</t>
        </is>
      </c>
      <c r="D67" s="9" t="inlineStr">
        <is>
          <t>בינונית</t>
        </is>
      </c>
      <c r="E67" s="9" t="n">
        <v>4</v>
      </c>
      <c r="F67" s="10" t="inlineStr">
        <is>
          <t>Dulcan: פרק 37, עמ' 785-846
Stahl Essential: פרק 5, עמ' 159-243
Stahl C&amp;A: paliperidone, risperidone (עמ' 367-380, 423-438)
כרטיסיות: עמ' 76-83</t>
        </is>
      </c>
      <c r="G67" s="9" t="inlineStr"/>
    </row>
    <row r="68">
      <c r="A68" s="9" t="n">
        <v>65</v>
      </c>
      <c r="B68" s="10" t="inlineStr">
        <is>
          <t>EPS: דיסטוניה, אקתיזיה, פרקינסוניזם</t>
        </is>
      </c>
      <c r="C68" s="9" t="inlineStr">
        <is>
          <t>5. Psychosis and Antipsychotics</t>
        </is>
      </c>
      <c r="D68" s="9" t="inlineStr">
        <is>
          <t>גבוהה</t>
        </is>
      </c>
      <c r="E68" s="9" t="n">
        <v>4</v>
      </c>
      <c r="F68" s="10" t="inlineStr">
        <is>
          <t>Dulcan: פרק 37, עמ' 785-846
DSM-5-TR: Medication-Induced Movement, עמ' 807-820
Stahl Essential: פרק 5, עמ' 159-243
כרטיסיות: עמ' 76-83</t>
        </is>
      </c>
      <c r="G68" s="9" t="inlineStr"/>
    </row>
    <row r="69">
      <c r="A69" s="9" t="n">
        <v>66</v>
      </c>
      <c r="B69" s="10" t="inlineStr">
        <is>
          <t>Tardive Dyskinesia + מעכבי VMAT2</t>
        </is>
      </c>
      <c r="C69" s="9" t="inlineStr">
        <is>
          <t>5. Psychosis and Antipsychotics</t>
        </is>
      </c>
      <c r="D69" s="9" t="inlineStr">
        <is>
          <t>בינונית</t>
        </is>
      </c>
      <c r="E69" s="9" t="n">
        <v>4</v>
      </c>
      <c r="F69" s="10" t="inlineStr">
        <is>
          <t>Dulcan: פרק 37, עמ' 785-846
DSM-5-TR: Medication-Induced Movement, עמ' 807-820
כרטיסיות: עמ' 76-83</t>
        </is>
      </c>
      <c r="G69" s="9" t="inlineStr"/>
    </row>
    <row r="70">
      <c r="A70" s="9" t="n">
        <v>67</v>
      </c>
      <c r="B70" s="10" t="inlineStr">
        <is>
          <t>NMS — תסמונת ממאירה ניורולפטית</t>
        </is>
      </c>
      <c r="C70" s="9" t="inlineStr">
        <is>
          <t>5. Psychosis and Antipsychotics</t>
        </is>
      </c>
      <c r="D70" s="9" t="inlineStr">
        <is>
          <t>גבוהה</t>
        </is>
      </c>
      <c r="E70" s="9" t="n">
        <v>4</v>
      </c>
      <c r="F70" s="10" t="inlineStr">
        <is>
          <t>Dulcan: פרק 37+29, עמ' 605-620, 785-846
DSM-5-TR: Medication-Induced Movement, עמ' 807-820
כרטיסיות: עמ' 76-83</t>
        </is>
      </c>
      <c r="G70" s="9" t="inlineStr"/>
    </row>
    <row r="71">
      <c r="A71" s="9" t="n">
        <v>68</v>
      </c>
      <c r="B71" s="10" t="inlineStr">
        <is>
          <t>קטטוניה</t>
        </is>
      </c>
      <c r="C71" s="9" t="inlineStr">
        <is>
          <t>5. Psychosis and Antipsychotics</t>
        </is>
      </c>
      <c r="D71" s="9" t="inlineStr">
        <is>
          <t>בינונית</t>
        </is>
      </c>
      <c r="E71" s="9" t="n">
        <v>4</v>
      </c>
      <c r="F71" s="10" t="inlineStr">
        <is>
          <t>DSM-5-TR: Schizophrenia Spectrum, עמ' 101-138
כרטיסיות: עמ' 75</t>
        </is>
      </c>
      <c r="G71" s="9" t="inlineStr"/>
    </row>
    <row r="72">
      <c r="A72" s="9" t="n">
        <v>69</v>
      </c>
      <c r="B72" s="10" t="inlineStr">
        <is>
          <t>ניהול פסיכוזה חריפה במיון</t>
        </is>
      </c>
      <c r="C72" s="9" t="inlineStr">
        <is>
          <t>5. Psychosis and Antipsychotics</t>
        </is>
      </c>
      <c r="D72" s="9" t="inlineStr">
        <is>
          <t>בינונית</t>
        </is>
      </c>
      <c r="E72" s="9" t="n">
        <v>4</v>
      </c>
      <c r="F72" s="10" t="inlineStr">
        <is>
          <t>Dulcan: פרק 29, עמ' 605-620
כרטיסיות: עמ' 65-71</t>
        </is>
      </c>
      <c r="G72" s="9" t="inlineStr"/>
    </row>
    <row r="73">
      <c r="A73" s="9" t="n">
        <v>70</v>
      </c>
      <c r="B73" s="10" t="inlineStr">
        <is>
          <t>ECT וטיפולים סומטיים אחרים</t>
        </is>
      </c>
      <c r="C73" s="9" t="inlineStr">
        <is>
          <t>5. Psychosis and Antipsychotics</t>
        </is>
      </c>
      <c r="D73" s="9" t="inlineStr">
        <is>
          <t>בינונית</t>
        </is>
      </c>
      <c r="E73" s="9" t="n">
        <v>4</v>
      </c>
      <c r="F73" s="10" t="inlineStr">
        <is>
          <t>Synopsis: פרק 22 (ספרות מחייבת)
כרטיסיות: עמ' 35-36
ℹ ECT — Synopsis פרק 22; אין פרק ייעודי ב-Dulcan</t>
        </is>
      </c>
      <c r="G73" s="9" t="inlineStr"/>
    </row>
    <row r="74">
      <c r="A74" s="9" t="n">
        <v>71</v>
      </c>
      <c r="B74" s="10" t="inlineStr">
        <is>
          <t>נדודי שינה + CBT-I</t>
        </is>
      </c>
      <c r="C74" s="9" t="inlineStr">
        <is>
          <t>6. Sleep, Eating, Elimination</t>
        </is>
      </c>
      <c r="D74" s="9" t="inlineStr">
        <is>
          <t>בינונית</t>
        </is>
      </c>
      <c r="E74" s="9" t="n">
        <v>5</v>
      </c>
      <c r="F74" s="10" t="inlineStr">
        <is>
          <t>Dulcan: פרק 22, עמ' 473-502
DSM-5-TR: Sleep-Wake, עמ' 407-476
Stahl Essential: פרק 10, עמ' 401-448
כרטיסיות: עמ' 208-216</t>
        </is>
      </c>
      <c r="G74" s="9" t="inlineStr"/>
    </row>
    <row r="75">
      <c r="A75" s="9" t="n">
        <v>72</v>
      </c>
      <c r="B75" s="10" t="inlineStr">
        <is>
          <t>תרופות שינה</t>
        </is>
      </c>
      <c r="C75" s="9" t="inlineStr">
        <is>
          <t>6. Sleep, Eating, Elimination</t>
        </is>
      </c>
      <c r="D75" s="9" t="inlineStr">
        <is>
          <t>בינונית</t>
        </is>
      </c>
      <c r="E75" s="9" t="n">
        <v>5</v>
      </c>
      <c r="F75" s="10" t="inlineStr">
        <is>
          <t>Dulcan: פרק 22, עמ' 473-502
Stahl Essential: פרק 10, עמ' 401-448
כרטיסיות: עמ' 208-216</t>
        </is>
      </c>
      <c r="G75" s="9" t="inlineStr"/>
    </row>
    <row r="76">
      <c r="A76" s="9" t="n">
        <v>73</v>
      </c>
      <c r="B76" s="10" t="inlineStr">
        <is>
          <t>נרקולפסיה + Pitolisant</t>
        </is>
      </c>
      <c r="C76" s="9" t="inlineStr">
        <is>
          <t>6. Sleep, Eating, Elimination</t>
        </is>
      </c>
      <c r="D76" s="9" t="inlineStr">
        <is>
          <t>נמוכה</t>
        </is>
      </c>
      <c r="E76" s="9" t="n">
        <v>5</v>
      </c>
      <c r="F76" s="10" t="inlineStr">
        <is>
          <t>Dulcan: פרק 22, עמ' 473-502
DSM-5-TR: Sleep-Wake, עמ' 407-476
Stahl Essential: פרק 10, עמ' 401-448
כרטיסיות: עמ' 208-216</t>
        </is>
      </c>
      <c r="G76" s="9" t="inlineStr"/>
    </row>
    <row r="77">
      <c r="A77" s="9" t="n">
        <v>74</v>
      </c>
      <c r="B77" s="10" t="inlineStr">
        <is>
          <t>פרסומניות + תסמונת רגליים חסרות מנוחה</t>
        </is>
      </c>
      <c r="C77" s="9" t="inlineStr">
        <is>
          <t>6. Sleep, Eating, Elimination</t>
        </is>
      </c>
      <c r="D77" s="9" t="inlineStr">
        <is>
          <t>נמוכה</t>
        </is>
      </c>
      <c r="E77" s="9" t="n">
        <v>5</v>
      </c>
      <c r="F77" s="10" t="inlineStr">
        <is>
          <t>Dulcan: פרק 22, עמ' 473-502
DSM-5-TR: Sleep-Wake, עמ' 407-476
כרטיסיות: עמ' 208-216</t>
        </is>
      </c>
      <c r="G77" s="9" t="inlineStr"/>
    </row>
    <row r="78">
      <c r="A78" s="9" t="n">
        <v>75</v>
      </c>
      <c r="B78" s="10" t="inlineStr">
        <is>
          <t>Anorexia Nervosa</t>
        </is>
      </c>
      <c r="C78" s="9" t="inlineStr">
        <is>
          <t>6. Sleep, Eating, Elimination</t>
        </is>
      </c>
      <c r="D78" s="9" t="inlineStr">
        <is>
          <t>גבוהה</t>
        </is>
      </c>
      <c r="E78" s="9" t="n">
        <v>5</v>
      </c>
      <c r="F78" s="10" t="inlineStr">
        <is>
          <t>Dulcan: פרק 19, עמ' 411-436
DSM-5-TR: Feeding and Eating, עמ' 371-398
כרטיסיות: עמ' 111-132</t>
        </is>
      </c>
      <c r="G78" s="9" t="inlineStr"/>
    </row>
    <row r="79">
      <c r="A79" s="9" t="n">
        <v>76</v>
      </c>
      <c r="B79" s="10" t="inlineStr">
        <is>
          <t>Bulimia Nervosa + Binge Eating Disorder</t>
        </is>
      </c>
      <c r="C79" s="9" t="inlineStr">
        <is>
          <t>6. Sleep, Eating, Elimination</t>
        </is>
      </c>
      <c r="D79" s="9" t="inlineStr">
        <is>
          <t>בינונית</t>
        </is>
      </c>
      <c r="E79" s="9" t="n">
        <v>5</v>
      </c>
      <c r="F79" s="10" t="inlineStr">
        <is>
          <t>Dulcan: פרק 19, עמ' 411-436
DSM-5-TR: Feeding and Eating, עמ' 371-398
כרטיסיות: עמ' 111-132</t>
        </is>
      </c>
      <c r="G79" s="9" t="inlineStr"/>
    </row>
    <row r="80">
      <c r="A80" s="9" t="n">
        <v>77</v>
      </c>
      <c r="B80" s="10" t="inlineStr">
        <is>
          <t>ARFID + Pica + Rumination</t>
        </is>
      </c>
      <c r="C80" s="9" t="inlineStr">
        <is>
          <t>6. Sleep, Eating, Elimination</t>
        </is>
      </c>
      <c r="D80" s="9" t="inlineStr">
        <is>
          <t>נמוכה</t>
        </is>
      </c>
      <c r="E80" s="9" t="n">
        <v>5</v>
      </c>
      <c r="F80" s="10" t="inlineStr">
        <is>
          <t>Dulcan: פרק 19, עמ' 411-436
DSM-5-TR: Feeding and Eating, עמ' 371-398
כרטיסיות: עמ' 111-132</t>
        </is>
      </c>
      <c r="G80" s="9" t="inlineStr"/>
    </row>
    <row r="81">
      <c r="A81" s="9" t="n">
        <v>78</v>
      </c>
      <c r="B81" s="10" t="inlineStr">
        <is>
          <t>Enuresis + Encopresis</t>
        </is>
      </c>
      <c r="C81" s="9" t="inlineStr">
        <is>
          <t>6. Sleep, Eating, Elimination</t>
        </is>
      </c>
      <c r="D81" s="9" t="inlineStr">
        <is>
          <t>נמוכה</t>
        </is>
      </c>
      <c r="E81" s="9" t="n">
        <v>5</v>
      </c>
      <c r="F81" s="10" t="inlineStr">
        <is>
          <t>Dulcan: פרק 21, עמ' 457-472
DSM-5-TR: Elimination, עמ' 399-406
כרטיסיות: עמ' 181-188</t>
        </is>
      </c>
      <c r="G81" s="9" t="inlineStr"/>
    </row>
    <row r="82">
      <c r="A82" s="9" t="n">
        <v>79</v>
      </c>
      <c r="B82" s="10" t="inlineStr">
        <is>
          <t>התפתחות שינה בילדים + תזוזת מתבגרים</t>
        </is>
      </c>
      <c r="C82" s="9" t="inlineStr">
        <is>
          <t>6. Sleep, Eating, Elimination</t>
        </is>
      </c>
      <c r="D82" s="9" t="inlineStr">
        <is>
          <t>בינונית</t>
        </is>
      </c>
      <c r="E82" s="9" t="n">
        <v>5</v>
      </c>
      <c r="F82" s="10" t="inlineStr">
        <is>
          <t>Dulcan: פרק 22, עמ' 473-502
כרטיסיות: עמ' 208-216</t>
        </is>
      </c>
      <c r="G82" s="9" t="inlineStr"/>
    </row>
    <row r="83">
      <c r="A83" s="9" t="n">
        <v>80</v>
      </c>
      <c r="B83" s="10" t="inlineStr">
        <is>
          <t>הפרעות אכילה: FBT + ייצוב רפואי</t>
        </is>
      </c>
      <c r="C83" s="9" t="inlineStr">
        <is>
          <t>6. Sleep, Eating, Elimination</t>
        </is>
      </c>
      <c r="D83" s="9" t="inlineStr">
        <is>
          <t>בינונית</t>
        </is>
      </c>
      <c r="E83" s="9" t="n">
        <v>5</v>
      </c>
      <c r="F83" s="10" t="inlineStr">
        <is>
          <t>Dulcan: פרק 19+41, עמ' 411-436, 933-954
כרטיסיות: עמ' 111-132</t>
        </is>
      </c>
      <c r="G83" s="9" t="inlineStr"/>
    </row>
    <row r="84">
      <c r="A84" s="9" t="n">
        <v>81</v>
      </c>
      <c r="B84" s="10" t="inlineStr">
        <is>
          <t>הפרעת שימוש באלכוהול + גמילה</t>
        </is>
      </c>
      <c r="C84" s="9" t="inlineStr">
        <is>
          <t>7. Substance Use</t>
        </is>
      </c>
      <c r="D84" s="9" t="inlineStr">
        <is>
          <t>גבוהה</t>
        </is>
      </c>
      <c r="E84" s="9" t="n">
        <v>5</v>
      </c>
      <c r="F84" s="10" t="inlineStr">
        <is>
          <t>Dulcan: פרק 12, עמ' 221-244
DSM-5-TR: Substance, עמ' 543-666
כרטיסיות: עמ' 192-202</t>
        </is>
      </c>
      <c r="G84" s="9" t="inlineStr"/>
    </row>
    <row r="85">
      <c r="A85" s="9" t="n">
        <v>82</v>
      </c>
      <c r="B85" s="10" t="inlineStr">
        <is>
          <t>טיפול ב-AUD: Naltrexone, Acamprosate, Disulfiram</t>
        </is>
      </c>
      <c r="C85" s="9" t="inlineStr">
        <is>
          <t>7. Substance Use</t>
        </is>
      </c>
      <c r="D85" s="9" t="inlineStr">
        <is>
          <t>בינונית</t>
        </is>
      </c>
      <c r="E85" s="9" t="n">
        <v>5</v>
      </c>
      <c r="F85" s="10" t="inlineStr">
        <is>
          <t>Dulcan: פרק 12, עמ' 221-244
Stahl Essential: פרק 13, עמ' 538-578
כרטיסיות: עמ' 192-202</t>
        </is>
      </c>
      <c r="G85" s="9" t="inlineStr"/>
    </row>
    <row r="86">
      <c r="A86" s="9" t="n">
        <v>83</v>
      </c>
      <c r="B86" s="10" t="inlineStr">
        <is>
          <t>OUD + גמילה</t>
        </is>
      </c>
      <c r="C86" s="9" t="inlineStr">
        <is>
          <t>7. Substance Use</t>
        </is>
      </c>
      <c r="D86" s="9" t="inlineStr">
        <is>
          <t>בינונית</t>
        </is>
      </c>
      <c r="E86" s="9" t="n">
        <v>5</v>
      </c>
      <c r="F86" s="10" t="inlineStr">
        <is>
          <t>Dulcan: פרק 12, עמ' 221-244
DSM-5-TR: Substance, עמ' 543-666
כרטיסיות: עמ' 192-202</t>
        </is>
      </c>
      <c r="G86" s="9" t="inlineStr"/>
    </row>
    <row r="87">
      <c r="A87" s="9" t="n">
        <v>84</v>
      </c>
      <c r="B87" s="10" t="inlineStr">
        <is>
          <t>טיפול ב-OUD: Methadone, Buprenorphine, Naltrexone, Naloxone</t>
        </is>
      </c>
      <c r="C87" s="9" t="inlineStr">
        <is>
          <t>7. Substance Use</t>
        </is>
      </c>
      <c r="D87" s="9" t="inlineStr">
        <is>
          <t>גבוהה</t>
        </is>
      </c>
      <c r="E87" s="9" t="n">
        <v>5</v>
      </c>
      <c r="F87" s="10" t="inlineStr">
        <is>
          <t>Dulcan: פרק 12, עמ' 221-244
Stahl Essential: פרק 13, עמ' 538-578
כרטיסיות: עמ' 192-202</t>
        </is>
      </c>
      <c r="G87" s="9" t="inlineStr"/>
    </row>
    <row r="88">
      <c r="A88" s="9" t="n">
        <v>85</v>
      </c>
      <c r="B88" s="10" t="inlineStr">
        <is>
          <t>הפרעת שימוש בסטימולנטים</t>
        </is>
      </c>
      <c r="C88" s="9" t="inlineStr">
        <is>
          <t>7. Substance Use</t>
        </is>
      </c>
      <c r="D88" s="9" t="inlineStr">
        <is>
          <t>בינונית</t>
        </is>
      </c>
      <c r="E88" s="9" t="n">
        <v>5</v>
      </c>
      <c r="F88" s="10" t="inlineStr">
        <is>
          <t>Dulcan: פרק 12, עמ' 221-244
DSM-5-TR: Substance, עמ' 543-666
Stahl Essential: פרק 13, עמ' 538-578
כרטיסיות: עמ' 192-202</t>
        </is>
      </c>
      <c r="G88" s="9" t="inlineStr"/>
    </row>
    <row r="89">
      <c r="A89" s="9" t="n">
        <v>86</v>
      </c>
      <c r="B89" s="10" t="inlineStr">
        <is>
          <t>הפרעת שימוש בקנאביס</t>
        </is>
      </c>
      <c r="C89" s="9" t="inlineStr">
        <is>
          <t>7. Substance Use</t>
        </is>
      </c>
      <c r="D89" s="9" t="inlineStr">
        <is>
          <t>בינונית</t>
        </is>
      </c>
      <c r="E89" s="9" t="n">
        <v>5</v>
      </c>
      <c r="F89" s="10" t="inlineStr">
        <is>
          <t>Dulcan: פרק 12, עמ' 221-244
DSM-5-TR: Substance, עמ' 543-666
כרטיסיות: עמ' 192-202</t>
        </is>
      </c>
      <c r="G89" s="9" t="inlineStr"/>
    </row>
    <row r="90">
      <c r="A90" s="9" t="n">
        <v>87</v>
      </c>
      <c r="B90" s="10" t="inlineStr">
        <is>
          <t>גמילה מעישון: Varenicline, NRT, Bupropion</t>
        </is>
      </c>
      <c r="C90" s="9" t="inlineStr">
        <is>
          <t>7. Substance Use</t>
        </is>
      </c>
      <c r="D90" s="9" t="inlineStr">
        <is>
          <t>נמוכה</t>
        </is>
      </c>
      <c r="E90" s="9" t="n">
        <v>5</v>
      </c>
      <c r="F90" s="10" t="inlineStr">
        <is>
          <t>Dulcan: פרק 12, עמ' 221-244
Stahl C&amp;A: bupropion (עמ' 83-96)
כרטיסיות: עמ' 192-202</t>
        </is>
      </c>
      <c r="G90" s="9" t="inlineStr"/>
    </row>
    <row r="91">
      <c r="A91" s="9" t="n">
        <v>88</v>
      </c>
      <c r="B91" s="10" t="inlineStr">
        <is>
          <t>הפרעת שימוש בסדאטיביים/היפנוטיים/אנקסיוליטיים</t>
        </is>
      </c>
      <c r="C91" s="9" t="inlineStr">
        <is>
          <t>7. Substance Use</t>
        </is>
      </c>
      <c r="D91" s="9" t="inlineStr">
        <is>
          <t>בינונית</t>
        </is>
      </c>
      <c r="E91" s="9" t="n">
        <v>5</v>
      </c>
      <c r="F91" s="10" t="inlineStr">
        <is>
          <t>Dulcan: פרק 12, עמ' 221-244
DSM-5-TR: Substance, עמ' 543-666
כרטיסיות: עמ' 192-202</t>
        </is>
      </c>
      <c r="G91" s="9" t="inlineStr"/>
    </row>
    <row r="92">
      <c r="A92" s="9" t="n">
        <v>89</v>
      </c>
      <c r="B92" s="10" t="inlineStr">
        <is>
          <t>הלוצינוגנים + קפאין + שאיפות</t>
        </is>
      </c>
      <c r="C92" s="9" t="inlineStr">
        <is>
          <t>7. Substance Use</t>
        </is>
      </c>
      <c r="D92" s="9" t="inlineStr">
        <is>
          <t>בינונית</t>
        </is>
      </c>
      <c r="E92" s="9" t="n">
        <v>5</v>
      </c>
      <c r="F92" s="10" t="inlineStr">
        <is>
          <t>Dulcan: פרק 12, עמ' 221-244
DSM-5-TR: Substance, עמ' 543-666
כרטיסיות: עמ' 192-202</t>
        </is>
      </c>
      <c r="G92" s="9" t="inlineStr"/>
    </row>
    <row r="93">
      <c r="A93" s="9" t="n">
        <v>90</v>
      </c>
      <c r="B93" s="10" t="inlineStr">
        <is>
          <t>התמכרות התנהגותית: הימורים</t>
        </is>
      </c>
      <c r="C93" s="9" t="inlineStr">
        <is>
          <t>7. Substance Use</t>
        </is>
      </c>
      <c r="D93" s="9" t="inlineStr">
        <is>
          <t>נמוכה</t>
        </is>
      </c>
      <c r="E93" s="9" t="n">
        <v>5</v>
      </c>
      <c r="F93" s="10" t="inlineStr">
        <is>
          <t>Dulcan: פרק 12, עמ' 221-244
DSM-5-TR: Substance, עמ' 543-666
Stahl Essential: פרק 13, עמ' 538-578
כרטיסיות: עמ' 192-202</t>
        </is>
      </c>
      <c r="G93" s="9" t="inlineStr"/>
    </row>
    <row r="94">
      <c r="A94" s="9" t="n">
        <v>91</v>
      </c>
      <c r="B94" s="10" t="inlineStr">
        <is>
          <t>הפרעת אישיות פרנואידית</t>
        </is>
      </c>
      <c r="C94" s="9" t="inlineStr">
        <is>
          <t>8. Personality + Special Populations</t>
        </is>
      </c>
      <c r="D94" s="9" t="inlineStr">
        <is>
          <t>בינונית</t>
        </is>
      </c>
      <c r="E94" s="9" t="n">
        <v>6</v>
      </c>
      <c r="F94" s="10" t="inlineStr">
        <is>
          <t>DSM-5-TR: Personality Disorders, עמ' 733-778
Synopsis: פרק 19 (ספרות מחייבת)</t>
        </is>
      </c>
      <c r="G94" s="9" t="inlineStr"/>
    </row>
    <row r="95">
      <c r="A95" s="9" t="n">
        <v>92</v>
      </c>
      <c r="B95" s="10" t="inlineStr">
        <is>
          <t>הפרעת אישיות סכיזואידית</t>
        </is>
      </c>
      <c r="C95" s="9" t="inlineStr">
        <is>
          <t>8. Personality + Special Populations</t>
        </is>
      </c>
      <c r="D95" s="9" t="inlineStr">
        <is>
          <t>בינונית</t>
        </is>
      </c>
      <c r="E95" s="9" t="n">
        <v>6</v>
      </c>
      <c r="F95" s="10" t="inlineStr">
        <is>
          <t>DSM-5-TR: Personality Disorders, עמ' 733-778
Synopsis: פרק 19 (ספרות מחייבת)</t>
        </is>
      </c>
      <c r="G95" s="9" t="inlineStr"/>
    </row>
    <row r="96">
      <c r="A96" s="9" t="n">
        <v>93</v>
      </c>
      <c r="B96" s="10" t="inlineStr">
        <is>
          <t>הפרעת אישיות סכיזוטיפלית</t>
        </is>
      </c>
      <c r="C96" s="9" t="inlineStr">
        <is>
          <t>8. Personality + Special Populations</t>
        </is>
      </c>
      <c r="D96" s="9" t="inlineStr">
        <is>
          <t>בינונית</t>
        </is>
      </c>
      <c r="E96" s="9" t="n">
        <v>6</v>
      </c>
      <c r="F96" s="10" t="inlineStr">
        <is>
          <t>DSM-5-TR: Personality Disorders, עמ' 733-778
Synopsis: פרק 19 (ספרות מחייבת)</t>
        </is>
      </c>
      <c r="G96" s="9" t="inlineStr"/>
    </row>
    <row r="97">
      <c r="A97" s="9" t="n">
        <v>94</v>
      </c>
      <c r="B97" s="10" t="inlineStr">
        <is>
          <t>BPD — Borderline Personality Disorder</t>
        </is>
      </c>
      <c r="C97" s="9" t="inlineStr">
        <is>
          <t>8. Personality + Special Populations</t>
        </is>
      </c>
      <c r="D97" s="9" t="inlineStr">
        <is>
          <t>גבוהה</t>
        </is>
      </c>
      <c r="E97" s="9" t="n">
        <v>6</v>
      </c>
      <c r="F97" s="10" t="inlineStr">
        <is>
          <t>DSM-5-TR: Personality Disorders, עמ' 733-778
Synopsis: פרק 19 (ספרות מחייבת)
כרטיסיות: עמ' 203-207</t>
        </is>
      </c>
      <c r="G97" s="9" t="inlineStr"/>
    </row>
    <row r="98">
      <c r="A98" s="9" t="n">
        <v>95</v>
      </c>
      <c r="B98" s="10" t="inlineStr">
        <is>
          <t>טיפול ב-BPD: DBT</t>
        </is>
      </c>
      <c r="C98" s="9" t="inlineStr">
        <is>
          <t>8. Personality + Special Populations</t>
        </is>
      </c>
      <c r="D98" s="9" t="inlineStr">
        <is>
          <t>בינונית</t>
        </is>
      </c>
      <c r="E98" s="9" t="n">
        <v>6</v>
      </c>
      <c r="F98" s="10" t="inlineStr">
        <is>
          <t>Synopsis: פרק 19, 23 (ספרות מחייבת)
כרטיסיות: עמ' 203-207
ℹ טיפול DBT ב-BPD — Synopsis; אין פרק ייעודי ב-Dulcan</t>
        </is>
      </c>
      <c r="G98" s="9" t="inlineStr"/>
    </row>
    <row r="99">
      <c r="A99" s="9" t="n">
        <v>96</v>
      </c>
      <c r="B99" s="10" t="inlineStr">
        <is>
          <t>ASPD + Conduct Disorder</t>
        </is>
      </c>
      <c r="C99" s="9" t="inlineStr">
        <is>
          <t>8. Personality + Special Populations</t>
        </is>
      </c>
      <c r="D99" s="9" t="inlineStr">
        <is>
          <t>בינונית</t>
        </is>
      </c>
      <c r="E99" s="9" t="n">
        <v>6</v>
      </c>
      <c r="F99" s="10" t="inlineStr">
        <is>
          <t>Dulcan: פרק 11, עמ' 197-220
DSM-5-TR: Personality Disorders, עמ' 733-778
Synopsis: פרק 19 (ספרות מחייבת)
כרטיסיות: עמ' 42-44</t>
        </is>
      </c>
      <c r="G99" s="9" t="inlineStr"/>
    </row>
    <row r="100">
      <c r="A100" s="9" t="n">
        <v>97</v>
      </c>
      <c r="B100" s="10" t="inlineStr">
        <is>
          <t>הפרעת אישיות היסטריונית</t>
        </is>
      </c>
      <c r="C100" s="9" t="inlineStr">
        <is>
          <t>8. Personality + Special Populations</t>
        </is>
      </c>
      <c r="D100" s="9" t="inlineStr">
        <is>
          <t>בינונית</t>
        </is>
      </c>
      <c r="E100" s="9" t="n">
        <v>6</v>
      </c>
      <c r="F100" s="10" t="inlineStr">
        <is>
          <t>DSM-5-TR: Personality Disorders, עמ' 733-778
Synopsis: פרק 19 (ספרות מחייבת)</t>
        </is>
      </c>
      <c r="G100" s="9" t="inlineStr"/>
    </row>
    <row r="101">
      <c r="A101" s="9" t="n">
        <v>98</v>
      </c>
      <c r="B101" s="10" t="inlineStr">
        <is>
          <t>הפרעת אישיות נרציסיסטית</t>
        </is>
      </c>
      <c r="C101" s="9" t="inlineStr">
        <is>
          <t>8. Personality + Special Populations</t>
        </is>
      </c>
      <c r="D101" s="9" t="inlineStr">
        <is>
          <t>בינונית</t>
        </is>
      </c>
      <c r="E101" s="9" t="n">
        <v>6</v>
      </c>
      <c r="F101" s="10" t="inlineStr">
        <is>
          <t>DSM-5-TR: Personality Disorders, עמ' 733-778
Synopsis: פרק 19 (ספרות מחייבת)</t>
        </is>
      </c>
      <c r="G101" s="9" t="inlineStr"/>
    </row>
    <row r="102">
      <c r="A102" s="9" t="n">
        <v>99</v>
      </c>
      <c r="B102" s="10" t="inlineStr">
        <is>
          <t>הפרעת אישיות נמנעת</t>
        </is>
      </c>
      <c r="C102" s="9" t="inlineStr">
        <is>
          <t>8. Personality + Special Populations</t>
        </is>
      </c>
      <c r="D102" s="9" t="inlineStr">
        <is>
          <t>בינונית</t>
        </is>
      </c>
      <c r="E102" s="9" t="n">
        <v>6</v>
      </c>
      <c r="F102" s="10" t="inlineStr">
        <is>
          <t>DSM-5-TR: Personality Disorders, עמ' 733-778
Synopsis: פרק 19 (ספרות מחייבת)</t>
        </is>
      </c>
      <c r="G102" s="9" t="inlineStr"/>
    </row>
    <row r="103">
      <c r="A103" s="9" t="n">
        <v>100</v>
      </c>
      <c r="B103" s="10" t="inlineStr">
        <is>
          <t>הפרעת אישיות תלותית</t>
        </is>
      </c>
      <c r="C103" s="9" t="inlineStr">
        <is>
          <t>8. Personality + Special Populations</t>
        </is>
      </c>
      <c r="D103" s="9" t="inlineStr">
        <is>
          <t>בינונית</t>
        </is>
      </c>
      <c r="E103" s="9" t="n">
        <v>6</v>
      </c>
      <c r="F103" s="10" t="inlineStr">
        <is>
          <t>DSM-5-TR: Personality Disorders, עמ' 733-778
Synopsis: פרק 19 (ספרות מחייבת)</t>
        </is>
      </c>
      <c r="G103" s="9" t="inlineStr"/>
    </row>
    <row r="104">
      <c r="A104" s="9" t="n">
        <v>101</v>
      </c>
      <c r="B104" s="10" t="inlineStr">
        <is>
          <t>הפרעת אישיות אובססיבית-קומפולסיבית (OCPD)</t>
        </is>
      </c>
      <c r="C104" s="9" t="inlineStr">
        <is>
          <t>8. Personality + Special Populations</t>
        </is>
      </c>
      <c r="D104" s="9" t="inlineStr">
        <is>
          <t>בינונית</t>
        </is>
      </c>
      <c r="E104" s="9" t="n">
        <v>6</v>
      </c>
      <c r="F104" s="10" t="inlineStr">
        <is>
          <t>DSM-5-TR: Personality Disorders, עמ' 733-778
Synopsis: פרק 19 (ספרות מחייבת)</t>
        </is>
      </c>
      <c r="G104" s="9" t="inlineStr"/>
    </row>
    <row r="105">
      <c r="A105" s="9" t="n">
        <v>102</v>
      </c>
      <c r="B105" s="10" t="inlineStr">
        <is>
          <t>פסיכיאטריה משפטית</t>
        </is>
      </c>
      <c r="C105" s="9" t="inlineStr">
        <is>
          <t>8. Personality + Special Populations</t>
        </is>
      </c>
      <c r="D105" s="9" t="inlineStr">
        <is>
          <t>גבוהה</t>
        </is>
      </c>
      <c r="E105" s="9" t="n">
        <v>6</v>
      </c>
      <c r="F105" s="10" t="inlineStr">
        <is>
          <t>Dulcan: פרק 31, עמ' 637-652
Synopsis: פרק 28
כרטיסיות: עמ' 222-224</t>
        </is>
      </c>
      <c r="G105" s="9" t="inlineStr"/>
    </row>
    <row r="106">
      <c r="A106" s="9" t="n">
        <v>103</v>
      </c>
      <c r="B106" s="10" t="inlineStr">
        <is>
          <t>החוק הישראלי בפסיכיאטריה של הילד והמתבגר</t>
        </is>
      </c>
      <c r="C106" s="9" t="inlineStr">
        <is>
          <t>8. Personality + Special Populations</t>
        </is>
      </c>
      <c r="D106" s="9" t="inlineStr">
        <is>
          <t>גבוהה</t>
        </is>
      </c>
      <c r="E106" s="9" t="n">
        <v>6</v>
      </c>
      <c r="F106" s="10" t="inlineStr">
        <is>
          <t>Dulcan: פרק 31, עמ' 637-652
כרטיסיות: עמ' 222-224
חוקים: חוק זכויות החולה התשנ"ו-1996 · חוק טיפול בחולי נפש התשנ"א-1991 · חוק הנוער (טיפול והשגחה) התש"ך-1960 · חוק הכשרות המשפטית והאפוטרופסות התשכ"ב-1962 · חוק העונשין — סימן ו'1: פגיעה בקטינים ובחסרי ישע ("תיקון 26", 1989) התשל"ז-1977
ℹ הדין הישראלי — חקיקה מקומית; לא מכוסה בספרי הלימוד</t>
        </is>
      </c>
      <c r="G106" s="9" t="inlineStr"/>
    </row>
    <row r="107">
      <c r="A107" s="9" t="n">
        <v>104</v>
      </c>
      <c r="B107" s="10" t="inlineStr">
        <is>
          <t>דיספוריה מגדרית + טיפול LGBTQ+</t>
        </is>
      </c>
      <c r="C107" s="9" t="inlineStr">
        <is>
          <t>8. Personality + Special Populations</t>
        </is>
      </c>
      <c r="D107" s="9" t="inlineStr">
        <is>
          <t>בינונית</t>
        </is>
      </c>
      <c r="E107" s="9" t="n">
        <v>6</v>
      </c>
      <c r="F107" s="10" t="inlineStr">
        <is>
          <t>Dulcan: פרק 27, עמ' 565-580
DSM-5-TR: Gender Dysphoria, עמ' 511-520
כרטיסיות: עמ' 189-191</t>
        </is>
      </c>
      <c r="G107" s="9" t="inlineStr"/>
    </row>
    <row r="108">
      <c r="A108" s="9" t="n">
        <v>105</v>
      </c>
      <c r="B108" s="10" t="inlineStr">
        <is>
          <t>תפקודים מיניים + הפרעות פרפיליות</t>
        </is>
      </c>
      <c r="C108" s="9" t="inlineStr">
        <is>
          <t>8. Personality + Special Populations</t>
        </is>
      </c>
      <c r="D108" s="9" t="inlineStr">
        <is>
          <t>בינונית</t>
        </is>
      </c>
      <c r="E108" s="9" t="n">
        <v>6</v>
      </c>
      <c r="F108" s="10" t="inlineStr">
        <is>
          <t>DSM-5-TR: Sexual Dysfunctions · Paraphilic, עמ' 477-510, 779-802
Synopsis: פרק 16</t>
        </is>
      </c>
      <c r="G108" s="9" t="inlineStr"/>
    </row>
    <row r="109">
      <c r="A109" s="9" t="n">
        <v>106</v>
      </c>
      <c r="B109" s="10" t="inlineStr">
        <is>
          <t>ODD, IED, Kleptomania, Pyromania</t>
        </is>
      </c>
      <c r="C109" s="9" t="inlineStr">
        <is>
          <t>8. Personality + Special Populations</t>
        </is>
      </c>
      <c r="D109" s="9" t="inlineStr">
        <is>
          <t>נמוכה</t>
        </is>
      </c>
      <c r="E109" s="9" t="n">
        <v>6</v>
      </c>
      <c r="F109" s="10" t="inlineStr">
        <is>
          <t>Dulcan: פרק 11, עמ' 197-220
DSM-5-TR: Disruptive, עמ' 521-542
כרטיסיות: עמ' 37-49</t>
        </is>
      </c>
      <c r="G109" s="9" t="inlineStr"/>
    </row>
    <row r="110">
      <c r="A110" s="9" t="n">
        <v>107</v>
      </c>
      <c r="B110" s="10" t="inlineStr">
        <is>
          <t>אגרסיביות ואלימות בילדים ובמתבגרים</t>
        </is>
      </c>
      <c r="C110" s="9" t="inlineStr">
        <is>
          <t>8. Personality + Special Populations</t>
        </is>
      </c>
      <c r="D110" s="9" t="inlineStr">
        <is>
          <t>גבוהה</t>
        </is>
      </c>
      <c r="E110" s="9" t="n">
        <v>6</v>
      </c>
      <c r="F110" s="10" t="inlineStr">
        <is>
          <t>Dulcan: פרק 28, עמ' 581-604
כרטיסיות: עמ' 38-41</t>
        </is>
      </c>
      <c r="G110" s="9" t="inlineStr"/>
    </row>
    <row r="111">
      <c r="A111" s="9" t="n">
        <v>108</v>
      </c>
      <c r="B111" s="10" t="inlineStr">
        <is>
          <t>אובדנות בנער/ה</t>
        </is>
      </c>
      <c r="C111" s="9" t="inlineStr">
        <is>
          <t>8. Personality + Special Populations</t>
        </is>
      </c>
      <c r="D111" s="9" t="inlineStr">
        <is>
          <t>גבוהה</t>
        </is>
      </c>
      <c r="E111" s="9" t="n">
        <v>6</v>
      </c>
      <c r="F111" s="10" t="inlineStr">
        <is>
          <t>Dulcan: פרק 26, עמ' 551-564
כרטיסיות: עמ' 16-20</t>
        </is>
      </c>
      <c r="G111" s="9" t="inlineStr"/>
    </row>
    <row r="112">
      <c r="A112" s="9" t="n">
        <v>109</v>
      </c>
      <c r="B112" s="10" t="inlineStr">
        <is>
          <t>פגיעה עצמית ללא כוונת אובדנות (NSSI)</t>
        </is>
      </c>
      <c r="C112" s="9" t="inlineStr">
        <is>
          <t>8. Personality + Special Populations</t>
        </is>
      </c>
      <c r="D112" s="9" t="inlineStr">
        <is>
          <t>נמוכה</t>
        </is>
      </c>
      <c r="E112" s="9" t="n">
        <v>7</v>
      </c>
      <c r="F112" s="10" t="inlineStr">
        <is>
          <t>Dulcan: פרק 26, עמ' 551-564
כרטיסיות: עמ' 16-20</t>
        </is>
      </c>
      <c r="G112" s="9" t="inlineStr"/>
    </row>
    <row r="113">
      <c r="A113" s="9" t="n">
        <v>110</v>
      </c>
      <c r="B113" s="10" t="inlineStr">
        <is>
          <t>מעברים משפחתיים: גירושין, אימוץ ואומנה</t>
        </is>
      </c>
      <c r="C113" s="9" t="inlineStr">
        <is>
          <t>8. Personality + Special Populations</t>
        </is>
      </c>
      <c r="D113" s="9" t="inlineStr">
        <is>
          <t>בינונית</t>
        </is>
      </c>
      <c r="E113" s="9" t="n">
        <v>7</v>
      </c>
      <c r="F113" s="10" t="inlineStr">
        <is>
          <t>Dulcan: פרק 30, עמ' 621-636
כרטיסיות: עמ' 308-309</t>
        </is>
      </c>
      <c r="G113" s="9" t="inlineStr"/>
    </row>
    <row r="114">
      <c r="A114" s="9" t="n">
        <v>111</v>
      </c>
      <c r="B114" s="10" t="inlineStr">
        <is>
          <t>היבטים תרבותיים ודתיים בבריאות הנפש של הילד</t>
        </is>
      </c>
      <c r="C114" s="9" t="inlineStr">
        <is>
          <t>8. Personality + Special Populations</t>
        </is>
      </c>
      <c r="D114" s="9" t="inlineStr">
        <is>
          <t>בינונית</t>
        </is>
      </c>
      <c r="E114" s="9" t="n">
        <v>7</v>
      </c>
      <c r="F114" s="10" t="inlineStr">
        <is>
          <t>Dulcan: פרק 25, עמ' 539-550</t>
        </is>
      </c>
      <c r="G114" s="9" t="inlineStr"/>
    </row>
    <row r="115">
      <c r="A115" s="9" t="n">
        <v>112</v>
      </c>
      <c r="B115" s="10" t="inlineStr">
        <is>
          <t>פסיכיאטריה פרינטלית</t>
        </is>
      </c>
      <c r="C115" s="9" t="inlineStr">
        <is>
          <t>8. Personality + Special Populations</t>
        </is>
      </c>
      <c r="D115" s="9" t="inlineStr">
        <is>
          <t>גבוהה</t>
        </is>
      </c>
      <c r="E115" s="9" t="n">
        <v>7</v>
      </c>
      <c r="F115" s="10" t="inlineStr">
        <is>
          <t>DSM-5-TR: Depressive, עמ' 177-214
ℹ פסיכיאטריה פרינטלית — specifier peripartum ב-DSM; הרחבה בכרטיסיות</t>
        </is>
      </c>
      <c r="G115" s="9" t="inlineStr"/>
    </row>
    <row r="116">
      <c r="A116" s="9" t="n">
        <v>113</v>
      </c>
      <c r="B116" s="10" t="inlineStr">
        <is>
          <t>Brexanolone + Zuranolone לדיכאון לאחר לידה</t>
        </is>
      </c>
      <c r="C116" s="9" t="inlineStr">
        <is>
          <t>8. Personality + Special Populations</t>
        </is>
      </c>
      <c r="D116" s="9" t="inlineStr">
        <is>
          <t>נמוכה</t>
        </is>
      </c>
      <c r="E116" s="9" t="n">
        <v>7</v>
      </c>
      <c r="F116" s="10" t="inlineStr">
        <is>
          <t>Stahl Essential: פרק 7, עמ' 283-358</t>
        </is>
      </c>
      <c r="G116" s="9" t="inlineStr"/>
    </row>
    <row r="117">
      <c r="A117" s="9" t="n">
        <v>114</v>
      </c>
      <c r="B117" s="10" t="inlineStr">
        <is>
          <t>גריאטריה — סקירה (delirium)</t>
        </is>
      </c>
      <c r="C117" s="9" t="inlineStr">
        <is>
          <t>8. Personality + Special Populations</t>
        </is>
      </c>
      <c r="D117" s="9" t="inlineStr">
        <is>
          <t>בינונית</t>
        </is>
      </c>
      <c r="E117" s="9" t="n">
        <v>7</v>
      </c>
      <c r="F117" s="10" t="inlineStr">
        <is>
          <t>DSM-5-TR: Neurocognitive, עמ' 667-732
Stahl Essential: פרק 12, עמ' 486-537
Synopsis: פרק 3 (ספרות מחייבת)</t>
        </is>
      </c>
      <c r="G117" s="9" t="inlineStr"/>
    </row>
    <row r="118">
      <c r="A118" s="9" t="n">
        <v>115</v>
      </c>
      <c r="B118" s="10" t="inlineStr">
        <is>
          <t>נוירואנטומיה + בדיקה נוירולוגית בילדים</t>
        </is>
      </c>
      <c r="C118" s="9" t="inlineStr">
        <is>
          <t>9. Neurology + Cross-cutting</t>
        </is>
      </c>
      <c r="D118" s="9" t="inlineStr">
        <is>
          <t>בינונית</t>
        </is>
      </c>
      <c r="E118" s="9" t="n">
        <v>7</v>
      </c>
      <c r="F118" s="10" t="inlineStr">
        <is>
          <t>Dulcan: פרק 6, עמ' 91-106
Stahl Essential: פרק 1, עמ' 1-28
כרטיסיות: עמ' 283-285, 293-295</t>
        </is>
      </c>
      <c r="G118" s="9" t="inlineStr"/>
    </row>
    <row r="119">
      <c r="A119" s="9" t="n">
        <v>116</v>
      </c>
      <c r="B119" s="10" t="inlineStr">
        <is>
          <t>פרכוסים + אפילפסיה</t>
        </is>
      </c>
      <c r="C119" s="9" t="inlineStr">
        <is>
          <t>9. Neurology + Cross-cutting</t>
        </is>
      </c>
      <c r="D119" s="9" t="inlineStr">
        <is>
          <t>גבוהה</t>
        </is>
      </c>
      <c r="E119" s="9" t="n">
        <v>7</v>
      </c>
      <c r="F119" s="10" t="inlineStr">
        <is>
          <t>כרטיסיות: עמ' 293-295
ℹ נוירולוגיה — מהסילבוס ומהכרטיסיות; אין פרק ייעודי בספרי הליבה</t>
        </is>
      </c>
      <c r="G119" s="9" t="inlineStr"/>
    </row>
    <row r="120">
      <c r="A120" s="9" t="n">
        <v>117</v>
      </c>
      <c r="B120" s="10" t="inlineStr">
        <is>
          <t>חבלת ראש + סקוואלי TBI</t>
        </is>
      </c>
      <c r="C120" s="9" t="inlineStr">
        <is>
          <t>9. Neurology + Cross-cutting</t>
        </is>
      </c>
      <c r="D120" s="9" t="inlineStr">
        <is>
          <t>בינונית</t>
        </is>
      </c>
      <c r="E120" s="9" t="n">
        <v>7</v>
      </c>
      <c r="F120" s="10" t="inlineStr">
        <is>
          <t>כרטיסיות: עמ' 293-295
ℹ נוירולוגיה — מהסילבוס ומהכרטיסיות; אין פרק ייעודי בספרי הליבה</t>
        </is>
      </c>
      <c r="G120" s="9" t="inlineStr"/>
    </row>
    <row r="121">
      <c r="A121" s="9" t="n">
        <v>118</v>
      </c>
      <c r="B121" s="10" t="inlineStr">
        <is>
          <t>זיהומים ב-CNS עם השלכות פסיכיאטריות</t>
        </is>
      </c>
      <c r="C121" s="9" t="inlineStr">
        <is>
          <t>9. Neurology + Cross-cutting</t>
        </is>
      </c>
      <c r="D121" s="9" t="inlineStr">
        <is>
          <t>בינונית</t>
        </is>
      </c>
      <c r="E121" s="9" t="n">
        <v>7</v>
      </c>
      <c r="F121" s="10" t="inlineStr">
        <is>
          <t>כרטיסיות: עמ' 293-295
ℹ נוירולוגיה — מהסילבוס ומהכרטיסיות; אין פרק ייעודי בספרי הליבה</t>
        </is>
      </c>
      <c r="G121" s="9" t="inlineStr"/>
    </row>
    <row r="122">
      <c r="A122" s="9" t="n">
        <v>119</v>
      </c>
      <c r="B122" s="10" t="inlineStr">
        <is>
          <t>הפרעות תנועה: Huntington, Wilson</t>
        </is>
      </c>
      <c r="C122" s="9" t="inlineStr">
        <is>
          <t>9. Neurology + Cross-cutting</t>
        </is>
      </c>
      <c r="D122" s="9" t="inlineStr">
        <is>
          <t>בינונית</t>
        </is>
      </c>
      <c r="E122" s="9" t="n">
        <v>7</v>
      </c>
      <c r="F122" s="10" t="inlineStr">
        <is>
          <t>כרטיסיות: עמ' 293-295
ℹ נוירולוגיה — מהסילבוס ומהכרטיסיות; אין פרק ייעודי בספרי הליבה</t>
        </is>
      </c>
      <c r="G122" s="9" t="inlineStr"/>
    </row>
    <row r="123">
      <c r="A123" s="9" t="n">
        <v>120</v>
      </c>
      <c r="B123" s="10" t="inlineStr">
        <is>
          <t>גידולי מוח + pseudotumor</t>
        </is>
      </c>
      <c r="C123" s="9" t="inlineStr">
        <is>
          <t>9. Neurology + Cross-cutting</t>
        </is>
      </c>
      <c r="D123" s="9" t="inlineStr">
        <is>
          <t>נמוכה</t>
        </is>
      </c>
      <c r="E123" s="9" t="n">
        <v>7</v>
      </c>
      <c r="F123" s="10" t="inlineStr">
        <is>
          <t>כרטיסיות: עמ' 293-295
ℹ נוירולוגיה — מהסילבוס ומהכרטיסיות; אין פרק ייעודי בספרי הליבה</t>
        </is>
      </c>
      <c r="G123" s="9" t="inlineStr"/>
    </row>
    <row r="124">
      <c r="A124" s="9" t="n">
        <v>121</v>
      </c>
      <c r="B124" s="10" t="inlineStr">
        <is>
          <t>שיתוק מוחין (Cerebral Palsy)</t>
        </is>
      </c>
      <c r="C124" s="9" t="inlineStr">
        <is>
          <t>9. Neurology + Cross-cutting</t>
        </is>
      </c>
      <c r="D124" s="9" t="inlineStr">
        <is>
          <t>נמוכה</t>
        </is>
      </c>
      <c r="E124" s="9" t="n">
        <v>7</v>
      </c>
      <c r="F124" s="10" t="inlineStr">
        <is>
          <t>כרטיסיות: עמ' 293-295
ℹ נוירולוגיה — מהסילבוס ומהכרטיסיות; אין פרק ייעודי בספרי הליבה</t>
        </is>
      </c>
      <c r="G124" s="9" t="inlineStr"/>
    </row>
    <row r="125">
      <c r="A125" s="9" t="n">
        <v>122</v>
      </c>
      <c r="B125" s="10" t="inlineStr">
        <is>
          <t>תסמונות נוירוגנטיות</t>
        </is>
      </c>
      <c r="C125" s="9" t="inlineStr">
        <is>
          <t>9. Neurology + Cross-cutting</t>
        </is>
      </c>
      <c r="D125" s="9" t="inlineStr">
        <is>
          <t>גבוהה</t>
        </is>
      </c>
      <c r="E125" s="9" t="n">
        <v>7</v>
      </c>
      <c r="F125" s="10" t="inlineStr">
        <is>
          <t>Dulcan: פרק 7+8, עמ' 107-156
כרטיסיות: עמ' 287-295
ℹ סינדרומים נוירוגנטיים — Dulcan 7-8 + הסילבוס</t>
        </is>
      </c>
      <c r="G125" s="9" t="inlineStr"/>
    </row>
    <row r="126">
      <c r="A126" s="9" t="n">
        <v>123</v>
      </c>
      <c r="B126" s="10" t="inlineStr">
        <is>
          <t>תסמונות נוירוקוטנאיות</t>
        </is>
      </c>
      <c r="C126" s="9" t="inlineStr">
        <is>
          <t>9. Neurology + Cross-cutting</t>
        </is>
      </c>
      <c r="D126" s="9" t="inlineStr">
        <is>
          <t>נמוכה</t>
        </is>
      </c>
      <c r="E126" s="9" t="n">
        <v>7</v>
      </c>
      <c r="F126" s="10" t="inlineStr">
        <is>
          <t>Dulcan: פרק 7, עמ' 107-134
כרטיסיות: עמ' 293-295
ℹ נוירוקוטנאיים — Dulcan 7 + הסילבוס</t>
        </is>
      </c>
      <c r="G126" s="9" t="inlineStr"/>
    </row>
    <row r="127">
      <c r="A127" s="9" t="n">
        <v>124</v>
      </c>
      <c r="B127" s="10" t="inlineStr">
        <is>
          <t>כאב ראש + מיגרנה</t>
        </is>
      </c>
      <c r="C127" s="9" t="inlineStr">
        <is>
          <t>9. Neurology + Cross-cutting</t>
        </is>
      </c>
      <c r="D127" s="9" t="inlineStr">
        <is>
          <t>נמוכה</t>
        </is>
      </c>
      <c r="E127" s="9" t="n">
        <v>7</v>
      </c>
      <c r="F127" s="10" t="inlineStr">
        <is>
          <t>כרטיסיות: עמ' 293-295
ℹ נוירולוגיה — מהסילבוס ומהכרטיסיות; אין פרק ייעודי בספרי הליבה</t>
        </is>
      </c>
      <c r="G127" s="9" t="inlineStr"/>
    </row>
    <row r="128">
      <c r="A128" s="9" t="n">
        <v>125</v>
      </c>
      <c r="B128" s="10" t="inlineStr">
        <is>
          <t>מחלות מטבוליות עם ביטוי פסיכיאטרי</t>
        </is>
      </c>
      <c r="C128" s="9" t="inlineStr">
        <is>
          <t>9. Neurology + Cross-cutting</t>
        </is>
      </c>
      <c r="D128" s="9" t="inlineStr">
        <is>
          <t>גבוהה</t>
        </is>
      </c>
      <c r="E128" s="9" t="n">
        <v>7</v>
      </c>
      <c r="F128" s="10" t="inlineStr">
        <is>
          <t>כרטיסיות: עמ' 293-295
ℹ נוירולוגיה — מהסילבוס ומהכרטיסיות; אין פרק ייעודי בספרי הליבה</t>
        </is>
      </c>
      <c r="G128" s="9" t="inlineStr"/>
    </row>
    <row r="129">
      <c r="A129" s="9" t="n">
        <v>126</v>
      </c>
      <c r="B129" s="10" t="inlineStr">
        <is>
          <t>אוטואימוני: NMDA encephalitis, lupus, PANDAS</t>
        </is>
      </c>
      <c r="C129" s="9" t="inlineStr">
        <is>
          <t>9. Neurology + Cross-cutting</t>
        </is>
      </c>
      <c r="D129" s="9" t="inlineStr">
        <is>
          <t>בינונית</t>
        </is>
      </c>
      <c r="E129" s="9" t="n">
        <v>7</v>
      </c>
      <c r="F129" s="10" t="inlineStr">
        <is>
          <t>כרטיסיות: עמ' 293-295
ℹ נוירולוגיה — מהסילבוס ומהכרטיסיות; אין פרק ייעודי בספרי הליבה</t>
        </is>
      </c>
      <c r="G129" s="9" t="inlineStr"/>
    </row>
    <row r="130">
      <c r="A130" s="9" t="n">
        <v>127</v>
      </c>
      <c r="B130" s="10" t="inlineStr">
        <is>
          <t>ניוון עצבי בילדים</t>
        </is>
      </c>
      <c r="C130" s="9" t="inlineStr">
        <is>
          <t>9. Neurology + Cross-cutting</t>
        </is>
      </c>
      <c r="D130" s="9" t="inlineStr">
        <is>
          <t>נמוכה</t>
        </is>
      </c>
      <c r="E130" s="9" t="n">
        <v>7</v>
      </c>
      <c r="F130" s="10" t="inlineStr">
        <is>
          <t>כרטיסיות: עמ' 293-295
ℹ נוירולוגיה — מהסילבוס ומהכרטיסיות; אין פרק ייעודי בספרי הליבה</t>
        </is>
      </c>
      <c r="G130" s="9" t="inlineStr"/>
    </row>
    <row r="131">
      <c r="A131" s="9" t="n">
        <v>128</v>
      </c>
      <c r="B131" s="10" t="inlineStr">
        <is>
          <t>רפואת שינה — אינטנסיבית</t>
        </is>
      </c>
      <c r="C131" s="9" t="inlineStr">
        <is>
          <t>9. Neurology + Cross-cutting</t>
        </is>
      </c>
      <c r="D131" s="9" t="inlineStr">
        <is>
          <t>בינונית</t>
        </is>
      </c>
      <c r="E131" s="9" t="n">
        <v>7</v>
      </c>
      <c r="F131" s="10" t="inlineStr">
        <is>
          <t>Dulcan: פרק 22, עמ' 473-502
Stahl Essential: פרק 10, עמ' 401-448
כרטיסיות: עמ' 208-216</t>
        </is>
      </c>
      <c r="G131" s="9" t="inlineStr"/>
    </row>
    <row r="132">
      <c r="A132" s="9" t="n">
        <v>129</v>
      </c>
      <c r="B132" s="10" t="inlineStr">
        <is>
          <t>חירום פסיכיאטרי בילדים ובמתבגרים</t>
        </is>
      </c>
      <c r="C132" s="9" t="inlineStr">
        <is>
          <t>9. Neurology + Cross-cutting</t>
        </is>
      </c>
      <c r="D132" s="9" t="inlineStr">
        <is>
          <t>גבוהה</t>
        </is>
      </c>
      <c r="E132" s="9" t="n">
        <v>7</v>
      </c>
      <c r="F132" s="10" t="inlineStr">
        <is>
          <t>Dulcan: פרק 29, עמ' 605-620</t>
        </is>
      </c>
      <c r="G132" s="9" t="inlineStr"/>
    </row>
    <row r="133">
      <c r="A133" s="9" t="n">
        <v>130</v>
      </c>
      <c r="B133" s="10" t="inlineStr">
        <is>
          <t>ייעוץ-קישור: פדיאטריה, אונקולוגיה ומחלות כרוניות</t>
        </is>
      </c>
      <c r="C133" s="9" t="inlineStr">
        <is>
          <t>9. Neurology + Cross-cutting</t>
        </is>
      </c>
      <c r="D133" s="9" t="inlineStr">
        <is>
          <t>גבוהה</t>
        </is>
      </c>
      <c r="E133" s="9" t="n">
        <v>8</v>
      </c>
      <c r="F133" s="10" t="inlineStr">
        <is>
          <t>Dulcan: פרק 48+49, עמ' 1071-1161
כרטיסיות: עמ' 296-299</t>
        </is>
      </c>
      <c r="G133" s="9" t="inlineStr"/>
    </row>
    <row r="134">
      <c r="A134" s="9" t="n">
        <v>131</v>
      </c>
      <c r="B134" s="10" t="inlineStr">
        <is>
          <t>סקירת תיאוריות פסיכותרפויטיות</t>
        </is>
      </c>
      <c r="C134" s="9" t="inlineStr">
        <is>
          <t>9. Neurology + Cross-cutting</t>
        </is>
      </c>
      <c r="D134" s="9" t="inlineStr">
        <is>
          <t>גבוהה</t>
        </is>
      </c>
      <c r="E134" s="9" t="n">
        <v>8</v>
      </c>
      <c r="F134" s="10" t="inlineStr">
        <is>
          <t>Dulcan: פרק 38, עמ' 847-872
Synopsis: פרק 23 (ספרות מחייבת)
כרטיסיות: עמ' 225-236</t>
        </is>
      </c>
      <c r="G134" s="9" t="inlineStr"/>
    </row>
    <row r="135">
      <c r="A135" s="9" t="n">
        <v>132</v>
      </c>
      <c r="B135" s="10" t="inlineStr">
        <is>
          <t>CBT — תיאוריה ופרקטיקה</t>
        </is>
      </c>
      <c r="C135" s="9" t="inlineStr">
        <is>
          <t>10. Psychotherapy + Integration</t>
        </is>
      </c>
      <c r="D135" s="9" t="inlineStr">
        <is>
          <t>גבוהה</t>
        </is>
      </c>
      <c r="E135" s="9" t="n">
        <v>8</v>
      </c>
      <c r="F135" s="10" t="inlineStr">
        <is>
          <t>Dulcan: פרק 43, עמ' 967-984
Synopsis: פרק 23 (ספרות מחייבת)
כרטיסיות: עמ' 278-280</t>
        </is>
      </c>
      <c r="G135" s="9" t="inlineStr"/>
    </row>
    <row r="136">
      <c r="A136" s="9" t="n">
        <v>133</v>
      </c>
      <c r="B136" s="10" t="inlineStr">
        <is>
          <t>DBT — תיאוריה ופרקטיקה</t>
        </is>
      </c>
      <c r="C136" s="9" t="inlineStr">
        <is>
          <t>10. Psychotherapy + Integration</t>
        </is>
      </c>
      <c r="D136" s="9" t="inlineStr">
        <is>
          <t>גבוהה</t>
        </is>
      </c>
      <c r="E136" s="9" t="n">
        <v>8</v>
      </c>
      <c r="F136" s="10" t="inlineStr">
        <is>
          <t>Synopsis: פרק 23 (ספרות מחייבת)
כרטיסיות: עמ' 203-207, 225-236
ℹ DBT — Synopsis פרק 23; אין פרק ייעודי ב-Dulcan</t>
        </is>
      </c>
      <c r="G136" s="9" t="inlineStr"/>
    </row>
    <row r="137">
      <c r="A137" s="9" t="n">
        <v>134</v>
      </c>
      <c r="B137" s="10" t="inlineStr">
        <is>
          <t>IPT-A — פסיכותרפיה בין-אישית למתבגרים</t>
        </is>
      </c>
      <c r="C137" s="9" t="inlineStr">
        <is>
          <t>10. Psychotherapy + Integration</t>
        </is>
      </c>
      <c r="D137" s="9" t="inlineStr">
        <is>
          <t>בינונית</t>
        </is>
      </c>
      <c r="E137" s="9" t="n">
        <v>8</v>
      </c>
      <c r="F137" s="10" t="inlineStr">
        <is>
          <t>Dulcan: פרק 42, עמ' 955-966
כרטיסיות: עמ' 237-242</t>
        </is>
      </c>
      <c r="G137" s="9" t="inlineStr"/>
    </row>
    <row r="138">
      <c r="A138" s="9" t="n">
        <v>135</v>
      </c>
      <c r="B138" s="10" t="inlineStr">
        <is>
          <t>ראיון מוטיבציוני</t>
        </is>
      </c>
      <c r="C138" s="9" t="inlineStr">
        <is>
          <t>10. Psychotherapy + Integration</t>
        </is>
      </c>
      <c r="D138" s="9" t="inlineStr">
        <is>
          <t>בינונית</t>
        </is>
      </c>
      <c r="E138" s="9" t="n">
        <v>8</v>
      </c>
      <c r="F138" s="10" t="inlineStr">
        <is>
          <t>Dulcan: פרק 44, עמ' 985-998
כרטיסיות: עמ' 237-242</t>
        </is>
      </c>
      <c r="G138" s="9" t="inlineStr"/>
    </row>
    <row r="139">
      <c r="A139" s="9" t="n">
        <v>136</v>
      </c>
      <c r="B139" s="10" t="inlineStr">
        <is>
          <t>מסגרות טיפול: אשפוז, אשפוז יום, מגורים ו-Systems of Care</t>
        </is>
      </c>
      <c r="C139" s="9" t="inlineStr">
        <is>
          <t>10. Psychotherapy + Integration</t>
        </is>
      </c>
      <c r="D139" s="9" t="inlineStr">
        <is>
          <t>בינונית</t>
        </is>
      </c>
      <c r="E139" s="9" t="n">
        <v>8</v>
      </c>
      <c r="F139" s="10" t="inlineStr">
        <is>
          <t>Dulcan: פרק 45+46, עמ' 999-1042</t>
        </is>
      </c>
      <c r="G139" s="9" t="inlineStr"/>
    </row>
    <row r="140">
      <c r="A140" s="9" t="n">
        <v>137</v>
      </c>
      <c r="B140" s="10" t="inlineStr">
        <is>
          <t>התערבויות וייעוץ במסגרת בית הספר</t>
        </is>
      </c>
      <c r="C140" s="9" t="inlineStr">
        <is>
          <t>10. Psychotherapy + Integration</t>
        </is>
      </c>
      <c r="D140" s="9" t="inlineStr">
        <is>
          <t>בינונית</t>
        </is>
      </c>
      <c r="E140" s="9" t="n">
        <v>8</v>
      </c>
      <c r="F140" s="10" t="inlineStr">
        <is>
          <t>Dulcan: פרק 47, עמ' 1043-1070</t>
        </is>
      </c>
      <c r="G140" s="9" t="inlineStr"/>
    </row>
    <row r="141">
      <c r="A141" s="9" t="n">
        <v>138</v>
      </c>
      <c r="B141" s="10" t="inlineStr">
        <is>
          <t>טיפול משפחתי + הדרכת הורים</t>
        </is>
      </c>
      <c r="C141" s="9" t="inlineStr">
        <is>
          <t>10. Psychotherapy + Integration</t>
        </is>
      </c>
      <c r="D141" s="9" t="inlineStr">
        <is>
          <t>בינונית</t>
        </is>
      </c>
      <c r="E141" s="9" t="n">
        <v>8</v>
      </c>
      <c r="F141" s="10" t="inlineStr">
        <is>
          <t>Dulcan: פרק 40+41, עמ' 899-954
כרטיסיות: עמ' 237-242</t>
        </is>
      </c>
      <c r="G141" s="9" t="inlineStr"/>
    </row>
    <row r="142">
      <c r="A142" s="9" t="n">
        <v>139</v>
      </c>
      <c r="B142" s="10" t="inlineStr">
        <is>
          <t>פסיכודינמי: Anna Freud, Klein, Kohut, Mentalization</t>
        </is>
      </c>
      <c r="C142" s="9" t="inlineStr">
        <is>
          <t>10. Psychotherapy + Integration</t>
        </is>
      </c>
      <c r="D142" s="9" t="inlineStr">
        <is>
          <t>גבוהה</t>
        </is>
      </c>
      <c r="E142" s="9" t="n">
        <v>8</v>
      </c>
      <c r="F142" s="10" t="inlineStr">
        <is>
          <t>Dulcan: פרק 38, עמ' 847-872
Synopsis: פרק 23, 34 (ספרות מחייבת)
כרטיסיות: עמ' 243-265</t>
        </is>
      </c>
      <c r="G142" s="9" t="inlineStr"/>
    </row>
    <row r="143">
      <c r="A143" s="9" t="n">
        <v>140</v>
      </c>
      <c r="B143" s="10" t="inlineStr">
        <is>
          <t>יחסי אובייקט: ויניקוט, מאהלר, קרנברג</t>
        </is>
      </c>
      <c r="C143" s="9" t="inlineStr">
        <is>
          <t>10. Psychotherapy + Integration</t>
        </is>
      </c>
      <c r="D143" s="9" t="inlineStr">
        <is>
          <t>גבוהה</t>
        </is>
      </c>
      <c r="E143" s="9" t="n">
        <v>8</v>
      </c>
      <c r="F143" s="10" t="inlineStr">
        <is>
          <t>Dulcan: פרק 38, עמ' 847-872
Synopsis: פרק 23, 34 (ספרות מחייבת)
כרטיסיות: עמ' 253-261
ℹ תיאוריה — מהכרטיסיות ומ-Synopsis; אין פרק ייעודי ב-Dulcan</t>
        </is>
      </c>
      <c r="G143" s="9" t="inlineStr"/>
    </row>
    <row r="144">
      <c r="A144" s="9" t="n">
        <v>141</v>
      </c>
      <c r="B144" s="10" t="inlineStr">
        <is>
          <t>תיאורטיקנים נוספים: אריקסון, ביון, אוגדן, לאקאן, שפיץ, שטרן וההתייחסותיים</t>
        </is>
      </c>
      <c r="C144" s="9" t="inlineStr">
        <is>
          <t>10. Psychotherapy + Integration</t>
        </is>
      </c>
      <c r="D144" s="9" t="inlineStr">
        <is>
          <t>גבוהה</t>
        </is>
      </c>
      <c r="E144" s="9" t="n">
        <v>8</v>
      </c>
      <c r="F144" s="10" t="inlineStr">
        <is>
          <t>Synopsis: פרק 23, 34 (ספרות מחייבת)
כרטיסיות: עמ' 266-277
ℹ תיאוריה — מהכרטיסיות ומ-Synopsis; אין פרק ייעודי ב-Dulcan</t>
        </is>
      </c>
      <c r="G144" s="9" t="inlineStr"/>
    </row>
    <row r="145">
      <c r="A145" s="9" t="n">
        <v>142</v>
      </c>
      <c r="B145" s="10" t="inlineStr">
        <is>
          <t>בריאות נפש מרחוק לילדים ומתבגרים</t>
        </is>
      </c>
      <c r="C145" s="9" t="inlineStr">
        <is>
          <t>10. Psychotherapy + Integration</t>
        </is>
      </c>
      <c r="D145" s="9" t="inlineStr">
        <is>
          <t>נמוכה</t>
        </is>
      </c>
      <c r="E145" s="9" t="n">
        <v>8</v>
      </c>
      <c r="F145" s="10" t="inlineStr">
        <is>
          <t>Dulcan: פרק 32, עמ' 653-676</t>
        </is>
      </c>
      <c r="G145" s="9" t="inlineStr"/>
    </row>
    <row r="146">
      <c r="A146" s="9" t="n">
        <v>143</v>
      </c>
      <c r="B146" s="10" t="inlineStr">
        <is>
          <t>רפואה מבוססת ראיות בפסיכיאטריה של הילד</t>
        </is>
      </c>
      <c r="C146" s="9" t="inlineStr">
        <is>
          <t>10. Psychotherapy + Integration</t>
        </is>
      </c>
      <c r="D146" s="9" t="inlineStr">
        <is>
          <t>בינונית</t>
        </is>
      </c>
      <c r="E146" s="9" t="n">
        <v>8</v>
      </c>
      <c r="F146" s="10" t="inlineStr">
        <is>
          <t>Dulcan: פרק 23, עמ' 503-516</t>
        </is>
      </c>
      <c r="G146" s="9" t="inlineStr"/>
    </row>
    <row r="147">
      <c r="A147" s="9" t="n">
        <v>144</v>
      </c>
      <c r="B147" s="10" t="inlineStr">
        <is>
          <t>אינטגרציה + שאלות + סקירת נקודות חולשה</t>
        </is>
      </c>
      <c r="C147" s="9" t="inlineStr">
        <is>
          <t>10. Psychotherapy + Integration</t>
        </is>
      </c>
      <c r="D147" s="9" t="inlineStr">
        <is>
          <t>גבוהה</t>
        </is>
      </c>
      <c r="E147" s="9" t="n">
        <v>8</v>
      </c>
      <c r="F147" s="10" t="inlineStr">
        <is>
          <t>ℹ סקירת אינטגרציה — כל החומר</t>
        </is>
      </c>
      <c r="G147" s="9" t="inlineStr"/>
    </row>
  </sheetData>
  <dataValidations count="1">
    <dataValidation sqref="G4:G147" showDropDown="0" showInputMessage="0" showErrorMessage="0" allowBlank="1" type="list">
      <formula1>"✓,"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" customWidth="1" min="2" max="2"/>
    <col width="10" customWidth="1" min="3" max="3"/>
    <col width="46" customWidth="1" min="4" max="4"/>
    <col width="40" customWidth="1" min="5" max="5"/>
    <col width="56" customWidth="1" min="6" max="6"/>
    <col width="22" customWidth="1" min="7" max="7"/>
  </cols>
  <sheetData>
    <row r="1">
      <c r="A1" s="1" t="inlineStr">
        <is>
          <t>שבוע</t>
        </is>
      </c>
      <c r="B1" s="1" t="inlineStr">
        <is>
          <t>#</t>
        </is>
      </c>
      <c r="C1" s="1" t="inlineStr">
        <is>
          <t>סוג</t>
        </is>
      </c>
      <c r="D1" s="1" t="inlineStr">
        <is>
          <t>שאלה</t>
        </is>
      </c>
      <c r="E1" s="1" t="inlineStr">
        <is>
          <t>תת-שאלות</t>
        </is>
      </c>
      <c r="F1" s="1" t="inlineStr">
        <is>
          <t>נקודות מפתח לתשובה</t>
        </is>
      </c>
      <c r="G1" s="1" t="inlineStr">
        <is>
          <t>מקור</t>
        </is>
      </c>
    </row>
    <row r="2">
      <c r="A2" s="2" t="n">
        <v>1</v>
      </c>
      <c r="B2" s="2" t="n">
        <v>1</v>
      </c>
      <c r="C2" s="2" t="inlineStr">
        <is>
          <t>דיון</t>
        </is>
      </c>
      <c r="D2" s="11" t="inlineStr">
        <is>
          <t>תאר/י את מגוון המסילות הדופמינרגיות העיקריות במוח.</t>
        </is>
      </c>
      <c r="E2" s="11" t="inlineStr">
        <is>
          <t>• מהו התפקיד הפיזיולוגי של כל מסילה?
• מהו הקשר של כל מסילה להפרעות פסיכיאטריות ולתופעות הלוואי של אנטיפסיכוטים?</t>
        </is>
      </c>
      <c r="F2" s="12" t="inlineStr">
        <is>
          <t>◾ Mesolimbic — תגמול; היפר-פעילות → תסמינים חיוביים; חסימת D2 בו = הפעולה האנטי-פסיכוטית
◾ Mesocortical — לקורטקס הפרה-פרונטלי; היפו-פעילות → תסמינים שליליים וקוגניטיביים
◾ Nigrostriatal — בקרת תנועה; חסימת D2 → EPS (דיסטוניה, אקתזיה, פרקינסוניזם, TD)
◾ Tuberoinfundibular — עיכוב פרולקטין; חסימת D2 → היפרפרולקטינמיה (גלקטוריאה, אמנוריאה)</t>
        </is>
      </c>
      <c r="G2" s="11" t="inlineStr">
        <is>
          <t>Stahl Essential ch.4-5; סילבוס עמ' 44, 49</t>
        </is>
      </c>
    </row>
    <row r="3">
      <c r="A3" s="2" t="n">
        <v>1</v>
      </c>
      <c r="B3" s="2" t="n">
        <v>2</v>
      </c>
      <c r="C3" s="2" t="inlineStr">
        <is>
          <t>דיון</t>
        </is>
      </c>
      <c r="D3" s="11" t="inlineStr">
        <is>
          <t>המערכת הלימבית בפסיכיאטריה של הילד.</t>
        </is>
      </c>
      <c r="E3" s="11" t="inlineStr">
        <is>
          <t>• מהם מרכיביה העיקריים?
• מהי מעורבותה בוויסות רגשות ובזיכרון?
• דון/י בקשר שבינה לבין הפרעות פסיכיאטריות.</t>
        </is>
      </c>
      <c r="F3" s="12" t="inlineStr">
        <is>
          <t>◾ מרכיבים: אמיגדלה, היפוקמפוס, ג'ירוס סינגולרי, היפותלמוס, פורניקס
◾ אמיגדלה — עיבוד פחד/איום; היפר-פעילות בחרדה ו-PTSD
◾ היפוקמפוס — קונסולידציה של זיכרון; פגיעה בטראומה ובדיכאון (דרך קורטיזול)
◾ ציר HPA וויסות סטרס; קשר לדיכאון, חרדה, PTSD</t>
        </is>
      </c>
      <c r="G3" s="11" t="inlineStr">
        <is>
          <t>סילבוס עמ' 44, 49; Stahl Essential</t>
        </is>
      </c>
    </row>
    <row r="4">
      <c r="A4" s="2" t="n">
        <v>1</v>
      </c>
      <c r="B4" s="2" t="n">
        <v>3</v>
      </c>
      <c r="C4" s="2" t="inlineStr">
        <is>
          <t>וינייטה</t>
        </is>
      </c>
      <c r="D4" s="11" t="inlineStr">
        <is>
          <t>פעוט בן 14 חודשים מובא לבדיקת שגרה.</t>
        </is>
      </c>
      <c r="E4" s="11" t="inlineStr">
        <is>
          <t>• תאר/י את אבני הדרך ההתפתחותיות התקינות בגיל זה (מוטורי, שפה, חברתי-רגשי).
• אילו 'דגלים אדומים' התפתחותיים היו מדאיגים ומצריכים המשך בירור?</t>
        </is>
      </c>
      <c r="F4" s="12" t="inlineStr">
        <is>
          <t>◾ מוטורי: הליכה עצמאית, אחיזת פינצטה
◾ שפה: 1-3 מילים, מבין הוראות פשוטות, מצביע (joint attention)
◾ חברתי: חרדת זרים (החל ~8 חודשים), חיקוי, משחק סימבולי מתחיל
◾ דגלים אדומים: אין גרגור עד 12 חודש, אין מילים עד 16 חודש, אין הצבעה/קשר עין, ובעיקר — נסיגה באבני דרך שנרכשו</t>
        </is>
      </c>
      <c r="G4" s="11" t="inlineStr">
        <is>
          <t>Dulcan ch.2; כרטיסיות עמ' 300-307</t>
        </is>
      </c>
    </row>
    <row r="5">
      <c r="A5" s="2" t="n">
        <v>1</v>
      </c>
      <c r="B5" s="2" t="n">
        <v>4</v>
      </c>
      <c r="C5" s="2" t="inlineStr">
        <is>
          <t>דיון</t>
        </is>
      </c>
      <c r="D5" s="11" t="inlineStr">
        <is>
          <t>דון/י במעורבות המערכת הסרוטונרגית בפסיכיאטריה של הילד.</t>
        </is>
      </c>
      <c r="E5" s="11" t="inlineStr">
        <is>
          <t>• מהם הרצפטורים העיקריים והאוטו-רצפטור?
• כיצד מנגנון זה מסביר את זמן ההשהיה בתגובה ל-SSRI?</t>
        </is>
      </c>
      <c r="F5" s="12" t="inlineStr">
        <is>
          <t>◾ 5-HT1A פרה-סינפטי = אוטו-רצפטור; דה-סנסיטיזציה שלו לאורך שבועות מסבירה את ההשהיה (2-4 שבועות) בתגובה הקלינית
◾ 5-HT2A / 5-HT2C פוסט-סינפטיים
◾ מעורבות בוויסות מצב רוח, חרדה, OCD, אימפולסיביות
◾ בילדים — מגיע לרמות בוגרות בגיל צעיר; ילדים rapid metabolizers</t>
        </is>
      </c>
      <c r="G5" s="11" t="inlineStr">
        <is>
          <t>Stahl Essential ch.5; סילבוס עמ' 50; כרטיסיות עמ' 281-282</t>
        </is>
      </c>
    </row>
    <row r="6">
      <c r="A6" s="13" t="n">
        <v>2</v>
      </c>
      <c r="B6" s="13" t="n">
        <v>1</v>
      </c>
      <c r="C6" s="13" t="inlineStr">
        <is>
          <t>וינייטה</t>
        </is>
      </c>
      <c r="D6" s="11" t="inlineStr">
        <is>
          <t>ילד בן 8, בריא בדרך כלל, תלמיד ממוצע בכיתה ב'. מובא ע"י האם בשל אי-שקט, קושי בהתמדה ובסיום מטלות, שכחנות ו'חלימה בהקיץ'.</t>
        </is>
      </c>
      <c r="E6" s="11" t="inlineStr">
        <is>
          <t>• מהי האבחנה המבדלת?
• מהו הבירור וההערכה (כולל כלים אבחוניים)?
• מהם עקרונות הטיפול התרופתי והלא-תרופתי, ואילו תופעות לוואי תנטר?</t>
        </is>
      </c>
      <c r="F6" s="12" t="inlineStr">
        <is>
          <t>◾ DDx: ADHD (3 תת-סוגים), הפרעת חרדה, לקות למידה, ליקוי שמיעה, אבסנס אפילפסיה, ODD, ASD, בעיה בבית
◾ בירור: אנמנזה מ-≥2 סביבות (בית+בי"ס), שאלוני Conners/Vanderbilt, שלילת גורם רפואי/שמיעה
◾ טיפול: סטימולנטים first-line, לא-סטימולנטים (אטומוקסטין/אגוניסטים אלפא-2), אימון הורים התנהגותי, התאמות בבי"ס
◾ ניטור: תיאבון וגדילה, שינה, לחץ דם/דופק, טיקים</t>
        </is>
      </c>
      <c r="G6" s="11" t="inlineStr">
        <is>
          <t>DSM-5-TR עמ' 68-70; Dulcan ch.10; סילבוס עמ' 58-59</t>
        </is>
      </c>
    </row>
    <row r="7">
      <c r="A7" s="13" t="n">
        <v>2</v>
      </c>
      <c r="B7" s="13" t="n">
        <v>2</v>
      </c>
      <c r="C7" s="13" t="inlineStr">
        <is>
          <t>וינייטה</t>
        </is>
      </c>
      <c r="D7" s="11" t="inlineStr">
        <is>
          <t>ילד בן 3 מופנה לבדיקה. התפתחותו המוקדמת הייתה תקינה כולל מילים ראשונות, אך מגיל שנתיים ההורים הבחינו בנסיגה בשימוש בשפה ובדפוסי ההתקשרות.</t>
        </is>
      </c>
      <c r="E7" s="11" t="inlineStr">
        <is>
          <t>• מהי האבחנה המבדלת?
• מהן הבדיקות הנוספות לבירור?
• מהי גישת האיתור והאבחון של אוטיזם בגיל הרך?
• התייחס/י לאופנים השונים של טיפול לא-ביולוגי.</t>
        </is>
      </c>
      <c r="F7" s="12" t="inlineStr">
        <is>
          <t>◾ DDx: ASD עם נסיגה, תסמונת רט, Landau-Kleffner (אפזיה נרכשת), ליקוי שמיעה, מוגבלות שכלית, מחלה נוירו-דגנרטיבית
◾ בדיקות: אודיולוגיה, גנטיקה (X שביר, CMA), EEG (אם נסיגה — לשלול Landau-Kleffner), הערכה רב-מקצועית (ADOS)
◾ איתור: M-CHAT בגיל 18-24 חודש; אבחון קליני לפי DSM-5-TR
◾ טיפול לא-ביולוגי: ABA/ESDM, ריפוי בדיבור ובעיסוק, אימון הורים, מסגרת חינוכית מותאמת</t>
        </is>
      </c>
      <c r="G7" s="11" t="inlineStr">
        <is>
          <t>DSM-5-TR עמ' 35-100; Dulcan ch.8; סילבוס עמ' 45 (דוגמה מקורית)</t>
        </is>
      </c>
    </row>
    <row r="8">
      <c r="A8" s="13" t="n">
        <v>2</v>
      </c>
      <c r="B8" s="13" t="n">
        <v>3</v>
      </c>
      <c r="C8" s="13" t="inlineStr">
        <is>
          <t>דיון</t>
        </is>
      </c>
      <c r="D8" s="11" t="inlineStr">
        <is>
          <t>תיאורית ההתקשרות (Attachment).</t>
        </is>
      </c>
      <c r="E8" s="11" t="inlineStr">
        <is>
          <t>• תאר/י את סוגי ההתקשרות ואת דרך בדיקתם (Strange Situation).
• מהן ההשלכות הקליניות, במיוחד של סגנון לא-מאורגן?</t>
        </is>
      </c>
      <c r="F8" s="12" t="inlineStr">
        <is>
          <t>◾ בטוח, נמנע, חרד-אמביוולנטי (resistant), לא-מאורגן (disorganized)
◾ בדיקה: פרוצדורת Strange Situation של Ainsworth — תגובת הילד לפרידה ולאיחוד
◾ לא-מאורגן קשור להזנחה/התעללות ולסיכון מוגבר ל-BPD ולדיסוציאציה
◾ בסיס להבנת RAD/DSED ולעבודה טיפולית</t>
        </is>
      </c>
      <c r="G8" s="11" t="inlineStr">
        <is>
          <t>כרטיסיות עמ' 304-307; סילבוס עמ' 43</t>
        </is>
      </c>
    </row>
    <row r="9">
      <c r="A9" s="13" t="n">
        <v>2</v>
      </c>
      <c r="B9" s="13" t="n">
        <v>4</v>
      </c>
      <c r="C9" s="13" t="inlineStr">
        <is>
          <t>דיון</t>
        </is>
      </c>
      <c r="D9" s="11" t="inlineStr">
        <is>
          <t>עקרונות הטיפול התרופתי בילדים ובמתבגרים.</t>
        </is>
      </c>
      <c r="E9" s="11" t="inlineStr">
        <is>
          <t>• מהם ההבדלים הפרמקוקינטיים מהמבוגר?
• מהי אזהרת ה-black box הרלוונטית ל-SSRI?
• מהם דרישות ההסכמה מדעת בקטין?</t>
        </is>
      </c>
      <c r="F9" s="12" t="inlineStr">
        <is>
          <t>◾ מטבוליזם כבדי מהיר יותר, T½ קצר → לעיתים מינון/ק"ג גבוה יותר ופיצול מנות; 'start low, go slow'
◾ black box: עלייה בסיכון למחשבות אובדניות ב-SSRI מתחת לגיל 25 — מעקב צמוד בתחילת טיפול והעלאות מינון
◾ הסכמה מדעת של הקטין (לפי גיל/הבנה) + הסכמת שני ההורים; ניטור בסיסי לפני ובמהלך</t>
        </is>
      </c>
      <c r="G9" s="11" t="inlineStr">
        <is>
          <t>Dulcan ch.33</t>
        </is>
      </c>
    </row>
    <row r="10">
      <c r="A10" s="2" t="n">
        <v>3</v>
      </c>
      <c r="B10" s="2" t="n">
        <v>1</v>
      </c>
      <c r="C10" s="2" t="inlineStr">
        <is>
          <t>וינייטה</t>
        </is>
      </c>
      <c r="D10" s="11" t="inlineStr">
        <is>
          <t>נער בן 15 מגיע עם אפיזודה דיכאונית מז'ורית ראשונה — מצב רוח ירוד, אנהדוניה, הפרעות שינה וירידה בתפקוד לימודי כבר חודשיים.</t>
        </is>
      </c>
      <c r="E10" s="11" t="inlineStr">
        <is>
          <t>• מהו הבירור וההערכה (כולל הערכת סיכון)?
• מהם שיקוליך בבחירת טיפול תרופתי?
• אילו סימני אזהרה תנטר בתחילת הטיפול?</t>
        </is>
      </c>
      <c r="F10" s="12" t="inlineStr">
        <is>
          <t>◾ בירור: הערכת אובדנות, שלילת ביפולריות (היסטוריה משפחתית → סיכון switch), שימוש בחומרים, גורם רפואי (תת-פעילות בלוטת התריס)
◾ בחירה: פלואוקסטין (FDA מגיל 8, בסיס ראיות חזק, T½ ארוך); שילוב עם CBT/IPT
◾ ניטור: אקטיבציה, החמרה אובדנית, switch למאניה — במיוחד בתחילת טיפול ובהעלאת מינון
◾ black box מתחת לגיל 25</t>
        </is>
      </c>
      <c r="G10" s="11" t="inlineStr">
        <is>
          <t>DSM-5-TR עמ' 177-214; Dulcan ch.13; כרטיסיות עמ' 4-15</t>
        </is>
      </c>
    </row>
    <row r="11">
      <c r="A11" s="2" t="n">
        <v>3</v>
      </c>
      <c r="B11" s="2" t="n">
        <v>2</v>
      </c>
      <c r="C11" s="2" t="inlineStr">
        <is>
          <t>וינייטה</t>
        </is>
      </c>
      <c r="D11" s="11" t="inlineStr">
        <is>
          <t>ילד בן 9 עם טיקים מוטוריים מרובים (מצמוץ, ניעור ראש) וטיק ווקאלי (כחכוח), הנמשכים מעל שנה, שהחלו בגיל 7.</t>
        </is>
      </c>
      <c r="E11" s="11" t="inlineStr">
        <is>
          <t>• מהי האבחנה ומהם הקריטריונים?
• מהן הקומורבידיות השכיחות?
• מהם עקרונות הטיפול ההתנהגותי והתרופתי?</t>
        </is>
      </c>
      <c r="F11" s="12" t="inlineStr">
        <is>
          <t>◾ תסמונת טורט: טיקים מוטוריים מרובים + ≥1 ווקאלי, &gt;שנה, הופעה לפני גיל 18
◾ קומורבידיות: ADHD ו-OCD (שכיחות מאוד)
◾ התנהגותי: CBIT / habit reversal — first-line
◾ תרופתי (לטיקים פוגעניים): אגוניסטים אלפא-2 (גואנפצין/קלונידין), אנטיפסיכוטים (ריספרידון/אריפיפרזול)</t>
        </is>
      </c>
      <c r="G11" s="11" t="inlineStr">
        <is>
          <t>DSM-5-TR עמ' 35-100; כרטיסיות עמ' 169-175</t>
        </is>
      </c>
    </row>
    <row r="12">
      <c r="A12" s="2" t="n">
        <v>3</v>
      </c>
      <c r="B12" s="2" t="n">
        <v>3</v>
      </c>
      <c r="C12" s="2" t="inlineStr">
        <is>
          <t>דיון</t>
        </is>
      </c>
      <c r="D12" s="11" t="inlineStr">
        <is>
          <t>מוגבלות שכלית התפתחותית לפי DSM-5-TR.</t>
        </is>
      </c>
      <c r="E12" s="11" t="inlineStr">
        <is>
          <t>• כיצד נקבעת חומרת ההפרעה?
• מדוע השתנתה ההגדרה מהתבססות על ציון IQ?</t>
        </is>
      </c>
      <c r="F12" s="12" t="inlineStr">
        <is>
          <t>◾ חומרה (קלה/בינונית/קשה/עמוקה) נקבעת לפי התפקוד האדפטיבי בשלושה תחומים: קונספטואלי, חברתי, פרקטי
◾ התפקוד האדפטיבי — ולא ה-IQ — קובע את רמת התמיכה הנדרשת
◾ נדרשים גם ליקוי אינטלקטואלי (~IQ&lt;70) וגם הופעה בתקופת ההתפתחות</t>
        </is>
      </c>
      <c r="G12" s="11" t="inlineStr">
        <is>
          <t>DSM-5-TR עמ' 35-100; כרטיסיות עמ' 160-162</t>
        </is>
      </c>
    </row>
    <row r="13">
      <c r="A13" s="2" t="n">
        <v>3</v>
      </c>
      <c r="B13" s="2" t="n">
        <v>4</v>
      </c>
      <c r="C13" s="2" t="inlineStr">
        <is>
          <t>דיון</t>
        </is>
      </c>
      <c r="D13" s="11" t="inlineStr">
        <is>
          <t>פרט/י את הבסיס הגנטי והביטויים הקוגניטיביים, הפסיכיאטריים וההתנהגותיים של תסמונת X שביר ותסמונת פראדר-וילי.</t>
        </is>
      </c>
      <c r="E13" s="11" t="inlineStr">
        <is>
          <t>• X שביר
• פראדר-וילי</t>
        </is>
      </c>
      <c r="F13" s="12" t="inlineStr">
        <is>
          <t>◾ X שביר: הסיבה התורשתית השכיחה למש"ה, הרחבת CGG בגן FMR1; פנים ארוכות, מקרואורכידיזם, מאפייני ASD, חרדה
◾ פראדר-וילי: מחיקה של 15q11-13 אבהי; היפוטוניה בינקות → היפרפאגיה והשמנה, מש"ה, התנהגות כפייתית ו-skin picking
◾ ייעוץ גנטי ותורשה מורכבת</t>
        </is>
      </c>
      <c r="G13" s="11" t="inlineStr">
        <is>
          <t>Dulcan ch.7; סילבוס עמ' 44; כרטיסיות עמ' 287-292</t>
        </is>
      </c>
    </row>
    <row r="14">
      <c r="A14" s="13" t="n">
        <v>4</v>
      </c>
      <c r="B14" s="13" t="n">
        <v>1</v>
      </c>
      <c r="C14" s="13" t="inlineStr">
        <is>
          <t>וינייטה</t>
        </is>
      </c>
      <c r="D14" s="11" t="inlineStr">
        <is>
          <t>ילד בן 9 מובא בשל התפרצויות זעם חמורות ותכופות (מספר פעמים בשבוע) על רקע מצב רוח עצבני וכועס רוב הזמן, במשך למעלה משנה.</t>
        </is>
      </c>
      <c r="E14" s="11" t="inlineStr">
        <is>
          <t>• דון/י באבחנה המבדלת בין DMDD להפרעה ביפולרית בילדים.
• מהי המשמעות הקלינית והטיפולית של ההבחנה?</t>
        </is>
      </c>
      <c r="F14" s="12" t="inlineStr">
        <is>
          <t>◾ DMDD: התפרצויות ≥3/שבוע + מצב רוח עצבני מתמשך ביניהן, ≥12 חודשים, הופעה &lt;10, אבחון בין 6-18
◾ ביפולרי דורש אפיזודות מובחנות של מאניה/היפומאניה (שינוי אפיזודי, לא כרוני)
◾ DMDD הוכנסה כדי להפחית אבחון-יתר של ביפולריות בילדים
◾ טיפול שונה: DMDD — טיפול בבסיס (ADHD/דיכאון) והתערבות הורית; ביפולרי — מייצבי מצב רוח/אנטיפסיכוטים</t>
        </is>
      </c>
      <c r="G14" s="11" t="inlineStr">
        <is>
          <t>DSM-5-TR עמ' 177-214; כרטיסיות עמ' 21-34</t>
        </is>
      </c>
    </row>
    <row r="15">
      <c r="A15" s="13" t="n">
        <v>4</v>
      </c>
      <c r="B15" s="13" t="n">
        <v>2</v>
      </c>
      <c r="C15" s="13" t="inlineStr">
        <is>
          <t>וינייטה</t>
        </is>
      </c>
      <c r="D15" s="11" t="inlineStr">
        <is>
          <t>מתבגרת בת 16 עם הפרעה ביפולרית I. מתוכננת התחלת ליתיום.</t>
        </is>
      </c>
      <c r="E15" s="11" t="inlineStr">
        <is>
          <t>• אילו בדיקות בסיס תבצע/י לפני התחלת הטיפול?
• מהו החלון הטיפולי?
• אילו תופעות לוואי כרוניות מחייבות מעקב, ומהם סימני הרעילות?</t>
        </is>
      </c>
      <c r="F15" s="12" t="inlineStr">
        <is>
          <t>◾ בסיס: תפקודי כליה (קריאטינין/eGFR), TSH, אלקטרוליטים, ECG, בטא-hCG
◾ חלון טיפולי צר: 0.6-1.2 mEq/L — נדרש ניטור רמות
◾ כרוני: פגיעה כלייתית (nephrogenic DI), היפותירואידיזם, עלייה במשקל, רעד
◾ רעילות: הקאות, שלשול, אטקסיה, דיסארתריה, בלבול, פרכוסים</t>
        </is>
      </c>
      <c r="G15" s="11" t="inlineStr">
        <is>
          <t>Stahl C&amp;A (lithium); Dulcan ch.36</t>
        </is>
      </c>
    </row>
    <row r="16">
      <c r="A16" s="13" t="n">
        <v>4</v>
      </c>
      <c r="B16" s="13" t="n">
        <v>3</v>
      </c>
      <c r="C16" s="13" t="inlineStr">
        <is>
          <t>דיון</t>
        </is>
      </c>
      <c r="D16" s="11" t="inlineStr">
        <is>
          <t>מייצבי מצב רוח: למוטריגין.</t>
        </is>
      </c>
      <c r="E16" s="11" t="inlineStr">
        <is>
          <t>• מדוע נדרשת טיטרציה איטית?
• מהי האינטראקציה החשובה עם ולפרואט?</t>
        </is>
      </c>
      <c r="F16" s="12" t="inlineStr">
        <is>
          <t>◾ סיכון לפריחה חמורה (Stevens-Johnson / TEN), במיוחד בטיטרציה מהירה
◾ ולפרואט מעכב את פירוק הלמוטריגין → יש להפחית מינון בערך למחצית ולטטר לאט עוד יותר
◾ יעיל במיוחד למניעת אפיזודות דיכאוניות בביפולרי</t>
        </is>
      </c>
      <c r="G16" s="11" t="inlineStr">
        <is>
          <t>Stahl Essential ch.7; Dulcan ch.36</t>
        </is>
      </c>
    </row>
    <row r="17">
      <c r="A17" s="13" t="n">
        <v>4</v>
      </c>
      <c r="B17" s="13" t="n">
        <v>4</v>
      </c>
      <c r="C17" s="13" t="inlineStr">
        <is>
          <t>וינייטה</t>
        </is>
      </c>
      <c r="D17" s="11" t="inlineStr">
        <is>
          <t>ילדה בת 6 שאינה מדברת בגן/בבית הספר כבר חודשיים, אך מדברת כרגיל ובאופן שוטף בבית עם המשפחה.</t>
        </is>
      </c>
      <c r="E17" s="11" t="inlineStr">
        <is>
          <t>• מהי האבחנה המבדלת?
• מהו הקשר לחרדה חברתית?
• מהם עקרונות הטיפול?</t>
        </is>
      </c>
      <c r="F17" s="12" t="inlineStr">
        <is>
          <t>◾ אילמות סלקטיבית: כשל עקבי לדבר במצבים חברתיים מוגדרים למרות דיבור תקין באחרים, ≥חודש (מעבר לחודש הראשון בבי"ס)
◾ DDx: חרדה חברתית, ASD, הפרעת שפה
◾ מסווגת כהפרעת חרדה; קשר חזק לחרדה חברתית
◾ טיפול: CBT וחשיפה מדורגת; SSRI במקרים חמורים</t>
        </is>
      </c>
      <c r="G17" s="11" t="inlineStr">
        <is>
          <t>DSM-5-TR עמ' 215-262; כרטיסיות עמ' 53-54</t>
        </is>
      </c>
    </row>
    <row r="18">
      <c r="A18" s="2" t="n">
        <v>5</v>
      </c>
      <c r="B18" s="2" t="n">
        <v>1</v>
      </c>
      <c r="C18" s="2" t="inlineStr">
        <is>
          <t>וינייטה</t>
        </is>
      </c>
      <c r="D18" s="11" t="inlineStr">
        <is>
          <t>מתבגר בן 14 עם מחשבות טורדניות חוזרות על זיהום וטקסי רחצה ובדיקה ממושכים הפוגעים בתפקוד ובזמן.</t>
        </is>
      </c>
      <c r="E18" s="11" t="inlineStr">
        <is>
          <t>• מהי האבחנה?
• מהו הטיפול מבוסס-הראיות (פסיכולוגי ותרופתי)?
• במה שונה הטיפול התרופתי מזה של דיכאון?</t>
        </is>
      </c>
      <c r="F18" s="12" t="inlineStr">
        <is>
          <t>◾ OCD: אובססיות ו/או קומפולסיות, גוזלות זמן (&gt;שעה/יום) או גורמות מצוקה/פגיעה
◾ פסיכולוגי: ERP (חשיפה ומניעת תגובה) — first-line
◾ תרופתי: SSRI, לרוב במינון גבוה יותר ולמשך ארוך יותר מאשר בדיכאון; שילוב במקרים בינוניים-חמורים
◾ אגו-דיסטוני (בשונה מ-OCPD)</t>
        </is>
      </c>
      <c r="G18" s="11" t="inlineStr">
        <is>
          <t>Dulcan ch.17, ch.43; כרטיסיות עמ' 84-89</t>
        </is>
      </c>
    </row>
    <row r="19">
      <c r="A19" s="2" t="n">
        <v>5</v>
      </c>
      <c r="B19" s="2" t="n">
        <v>2</v>
      </c>
      <c r="C19" s="2" t="inlineStr">
        <is>
          <t>וינייטה</t>
        </is>
      </c>
      <c r="D19" s="11" t="inlineStr">
        <is>
          <t>ילדה בת 8 לאחר תאונת דרכים קשה לפני חודשיים, סובלת מסיוטי-לילה, פלאשבקים, הימנעות מרכבים ועוררות מוגברת.</t>
        </is>
      </c>
      <c r="E19" s="11" t="inlineStr">
        <is>
          <t>• מהי האבחנה וההבחנה מ-Acute Stress Disorder?
• מהו הטיפול המועדף?
• מתי ובאיזו תרופה נשקול טיפול תרופתי?</t>
        </is>
      </c>
      <c r="F19" s="12" t="inlineStr">
        <is>
          <t>◾ PTSD (תסמינים &gt;חודש; ASD הוא 3 ימים עד חודש)
◾ טיפול מועדף: trauma-focused CBT (TF-CBT)
◾ תרופתי: SSRI; פראזוסין (אנטגוניסט אלפא-1) לסיוטי-לילה
◾ בילדים &lt;6 קריטריונים התפתחותיים נפרדים</t>
        </is>
      </c>
      <c r="G19" s="11" t="inlineStr">
        <is>
          <t>DSM-5-TR עמ' 295-328; Dulcan ch.16; כרטיסיות עמ' 100-108</t>
        </is>
      </c>
    </row>
    <row r="20">
      <c r="A20" s="2" t="n">
        <v>5</v>
      </c>
      <c r="B20" s="2" t="n">
        <v>3</v>
      </c>
      <c r="C20" s="2" t="inlineStr">
        <is>
          <t>וינייטה</t>
        </is>
      </c>
      <c r="D20" s="11" t="inlineStr">
        <is>
          <t>פעוט בן שנה מגיע למיון עם שברים מטאפיזיאליים מרובים בשלבי ריפוי שונים ודימומים ברשתית.</t>
        </is>
      </c>
      <c r="E20" s="11" t="inlineStr">
        <is>
          <t>• מהו החשד המרכזי?
• מהי האבחנה המבדלת הרפואית שיש לשלול?
• מהן חובותיך החוקיות?</t>
        </is>
      </c>
      <c r="F20" s="12" t="inlineStr">
        <is>
          <t>◾ חשד להתעללות פיזית / abusive head trauma (shaken baby)
◾ DDx רפואי: osteogenesis imperfecta, הפרעות קרישה, מחלות מטבוליות של העצם
◾ חובת דיווח מיידית (בישראל — חוק העונשין סעיף 368ד); הערכה רב-מקצועית ובטיחות הילד</t>
        </is>
      </c>
      <c r="G20" s="11" t="inlineStr">
        <is>
          <t>Dulcan ch.24</t>
        </is>
      </c>
    </row>
    <row r="21">
      <c r="A21" s="2" t="n">
        <v>5</v>
      </c>
      <c r="B21" s="2" t="n">
        <v>4</v>
      </c>
      <c r="C21" s="2" t="inlineStr">
        <is>
          <t>דיון</t>
        </is>
      </c>
      <c r="D21" s="11" t="inlineStr">
        <is>
          <t>אבל ושכול בילד שאיבד הורה.</t>
        </is>
      </c>
      <c r="E21" s="11" t="inlineStr">
        <is>
          <t>• מהי ההבחנה בין אבל נורמטיבי, Prolonged Grief Disorder ודיכאון מז'ורי?
• כיצד משפיע שלב ההתפתחות על הבנת המוות?</t>
        </is>
      </c>
      <c r="F21" s="12" t="inlineStr">
        <is>
          <t>◾ PGD בילדים: ≥6 חודשים מהאובדן (מבוגרים ≥12), געגוע עז/עיסוק במת + פגיעה תפקודית מעבר לנורמות התרבותיות
◾ DSM-5-TR ביטל את ה-bereavement exclusion מדיכאון
◾ הבנת סופיות ואוניברסליות המוות מתגבשת סביב גיל 7-9; ילדים צעירים חווים אבל בגלים ובביטויים התנהגותיים</t>
        </is>
      </c>
      <c r="G21" s="11" t="inlineStr">
        <is>
          <t>DSM-5-TR; Dulcan ch.16</t>
        </is>
      </c>
    </row>
    <row r="22">
      <c r="A22" s="13" t="n">
        <v>6</v>
      </c>
      <c r="B22" s="13" t="n">
        <v>1</v>
      </c>
      <c r="C22" s="13" t="inlineStr">
        <is>
          <t>וינייטה</t>
        </is>
      </c>
      <c r="D22" s="11" t="inlineStr">
        <is>
          <t>משפחה בה האם לוקה בסכיזופרניה, וגם בנה בן ה-10 אובחן לאחרונה כלוקה בסכיזופרניה, פונה לייעוצך. האם מעוניינת בילד נוסף ומבקשת לדעת מה הסיכוי שהילד שייוולד יסבול מהפרעה פסיכיאטרית.</t>
        </is>
      </c>
      <c r="E22" s="11" t="inlineStr">
        <is>
          <t>• דון/י באספקטים השונים של סוגיה זו.
• כיצד תתייחס/י לתורשה ולייעוץ גנטי?</t>
        </is>
      </c>
      <c r="F22" s="12" t="inlineStr">
        <is>
          <t>◾ תורשה מולטיפקטוריאלית (מורכבת) — לא תבנית מנדלית פשוטה
◾ סיכון עולה עם מספר קרובים מדרגה ראשונה שנפגעו; שילוב אם + אח פגוע מעלה משמעותית את הסיכון האמפירי
◾ הופעה מוקדמת (childhood-onset) — פרוגנוזה קשה יותר
◾ ייעוץ גנטי: הצגת סיכונים אמפיריים, גורמי סביבה, ומגבלות הניבוי</t>
        </is>
      </c>
      <c r="G22" s="11" t="inlineStr">
        <is>
          <t>Dulcan ch.18; סילבוס עמ' 51 (דוגמה מקורית); כרטיסיות עמ' 65-71</t>
        </is>
      </c>
    </row>
    <row r="23">
      <c r="A23" s="13" t="n">
        <v>6</v>
      </c>
      <c r="B23" s="13" t="n">
        <v>2</v>
      </c>
      <c r="C23" s="13" t="inlineStr">
        <is>
          <t>וינייטה</t>
        </is>
      </c>
      <c r="D23" s="11" t="inlineStr">
        <is>
          <t>מתבגר בן 16 עם הזיות שמע ומחשבות שווא של רדיפה כבר 8 חודשים, בליווי ירידה תפקודית ניכרת ותסמינים שליליים.</t>
        </is>
      </c>
      <c r="E23" s="11" t="inlineStr">
        <is>
          <t>• מהי האבחנה המבדלת?
• מהו הבירור לשלילת גורם אורגני?
• מהם עקרונות הטיפול?</t>
        </is>
      </c>
      <c r="F23" s="12" t="inlineStr">
        <is>
          <t>◾ DDx: סכיזופרניה, פסיכוזה מושרית-חומרים, הפרעת מצב רוח עם מאפיינים פסיכוטיים, אנצפליטיס אנטי-NMDA, גורם רפואי
◾ בירור: בדיקת סמים בשתן, תפקודי בלוטת התריס, הדמיה מוחית, שקילת נוגדנים אוטואימוניים
◾ טיפול: SGA first-line; התערבות מוקדמת; תמיכה משפחתית ופסיכו-חינוך</t>
        </is>
      </c>
      <c r="G23" s="11" t="inlineStr">
        <is>
          <t>DSM-5-TR עמ' 101-138; כרטיסיות עמ' 65-71</t>
        </is>
      </c>
    </row>
    <row r="24">
      <c r="A24" s="13" t="n">
        <v>6</v>
      </c>
      <c r="B24" s="13" t="n">
        <v>3</v>
      </c>
      <c r="C24" s="13" t="inlineStr">
        <is>
          <t>דיון</t>
        </is>
      </c>
      <c r="D24" s="11" t="inlineStr">
        <is>
          <t>קלוזאפין.</t>
        </is>
      </c>
      <c r="E24" s="11" t="inlineStr">
        <is>
          <t>• מהן ההתוויות ומדוע הוא שמור לסכיזופרניה עמידה?
• פרט/י את דרישות הניטור ותופעות הלוואי המסוכנות.</t>
        </is>
      </c>
      <c r="F24" s="12" t="inlineStr">
        <is>
          <t>◾ התוויה: סכיזופרניה עמידה (כישלון ≥2 אנטיפסיכוטים); היעיל ביותר, כולל הפחתת אובדנות
◾ ניטור ANC סדרתי בשל סיכון לאגרנולוציטוזיס (~1%)
◾ תופעות מסוכנות נוספות: מיוקרדיטיס, פרכוסים במינון גבוה, סיאלוריאה, עצירות/אילאוס</t>
        </is>
      </c>
      <c r="G24" s="11" t="inlineStr">
        <is>
          <t>Stahl C&amp;A (clozapine); כרטיסיות עמ' 76-83</t>
        </is>
      </c>
    </row>
    <row r="25">
      <c r="A25" s="13" t="n">
        <v>6</v>
      </c>
      <c r="B25" s="13" t="n">
        <v>4</v>
      </c>
      <c r="C25" s="13" t="inlineStr">
        <is>
          <t>דיון</t>
        </is>
      </c>
      <c r="D25" s="11" t="inlineStr">
        <is>
          <t>הסבר/י את ההבחנה בין תסמינים חיוביים לשליליים בסכיזופרניה.</t>
        </is>
      </c>
      <c r="E25" s="11" t="inlineStr">
        <is>
          <t>• מהם התסמינים בכל קבוצה?
• מהו הבסיס הדופמינרגי (מזולימבי מול מזוקורטיקלי)?</t>
        </is>
      </c>
      <c r="F25" s="12" t="inlineStr">
        <is>
          <t>◾ חיוביים: הזיות, מחשבות שווא, דיסאורגניזציה — מזולימבי היפר-דופמינרגי
◾ שליליים: אבוליציה, אנהדוניה, אלוגיה, שיטוח אפקט — מזוקורטיקלי היפו-דופמינרגי
◾ FGA יעילים בעיקר על חיוביים; שליליים מגיבים פחות</t>
        </is>
      </c>
      <c r="G25" s="11" t="inlineStr">
        <is>
          <t>Stahl Essential ch.4</t>
        </is>
      </c>
    </row>
    <row r="26">
      <c r="A26" s="2" t="n">
        <v>7</v>
      </c>
      <c r="B26" s="2" t="n">
        <v>1</v>
      </c>
      <c r="C26" s="2" t="inlineStr">
        <is>
          <t>וינייטה</t>
        </is>
      </c>
      <c r="D26" s="11" t="inlineStr">
        <is>
          <t>מתבגר שהחל אנטיפסיכוט לפני יומיים מגיע עם עוויתות שרירי הצוואר (טורטיקוליס) וסטייה כפויה של המבט כלפי מעלה (oculogyric crisis).</t>
        </is>
      </c>
      <c r="E26" s="11" t="inlineStr">
        <is>
          <t>• מהי האבחנה?
• מהו הטיפול המיידי?
• כיצד תבחין/י בין מצב זה לבין אקתזיה, פרקינסוניזם ו-TD?</t>
        </is>
      </c>
      <c r="F26" s="12" t="inlineStr">
        <is>
          <t>◾ דיסטוניה אקוטית — שעות עד ימים ראשונים, שכיחה בצעירים וב-FGA פוטנטיים
◾ טיפול מיידי: אנטיכולינרגי (בנזטרופין) או דיפנהידרמין IM/IV
◾ אקתזיה = חוסר-מנוחה מוטורי סובייקטיבי (טיפול: הורדת מינון, פרופרנולול); פרקינסוניזם = רעד/ברדיקינזיה (שבועות); TD = תנועות כוריאתמיות מאוחרות (חודשים-שנים)</t>
        </is>
      </c>
      <c r="G26" s="11" t="inlineStr">
        <is>
          <t>Dulcan ch.37; כרטיסיות עמ' 76-83</t>
        </is>
      </c>
    </row>
    <row r="27">
      <c r="A27" s="2" t="n">
        <v>7</v>
      </c>
      <c r="B27" s="2" t="n">
        <v>2</v>
      </c>
      <c r="C27" s="2" t="inlineStr">
        <is>
          <t>וינייטה</t>
        </is>
      </c>
      <c r="D27" s="11" t="inlineStr">
        <is>
          <t>מטופל על אנטיפסיכוט מגיע עם חום, קשיחות שרירים קיצונית ('lead-pipe'), שינוי מצב הכרה, אי-יציבות אוטונומית ו-CK מוגבר מאוד.</t>
        </is>
      </c>
      <c r="E27" s="11" t="inlineStr">
        <is>
          <t>• מהי האבחנה?
• מהו הטיפול?
• כיצד תבחין/י בינה לבין תסמונת סרוטונין?</t>
        </is>
      </c>
      <c r="F27" s="12" t="inlineStr">
        <is>
          <t>◾ NMS — תגובה אידיוסינקרטית לחסימת דופמין
◾ טיפול: הפסקת התרופה מיד, קירור ותמיכה, נוזלים, דנטרולן/ברומוקריפטין; שקילת ECT
◾ תסמונת סרוטונין: היפר-רפלקסיה, קלונוס, שלשול, הופעה מהירה (שעות) — בשונה מקשיחות ה-lead-pipe וההופעה האיטית ב-NMS</t>
        </is>
      </c>
      <c r="G27" s="11" t="inlineStr">
        <is>
          <t>Dulcan ch.37, ch.29</t>
        </is>
      </c>
    </row>
    <row r="28">
      <c r="A28" s="2" t="n">
        <v>7</v>
      </c>
      <c r="B28" s="2" t="n">
        <v>3</v>
      </c>
      <c r="C28" s="2" t="inlineStr">
        <is>
          <t>דיון</t>
        </is>
      </c>
      <c r="D28" s="11" t="inlineStr">
        <is>
          <t>דיסקינזיה מאוחרת (Tardive Dyskinesia).</t>
        </is>
      </c>
      <c r="E28" s="11" t="inlineStr">
        <is>
          <t>• מהם גורמי הסיכון?
• כיצד מונעים ומאבחנים מוקדם?
• מהו הטיפול המאושר?</t>
        </is>
      </c>
      <c r="F28" s="12" t="inlineStr">
        <is>
          <t>◾ גורמי סיכון: משך חשיפה, FGA, גיל, נשים, מינון מצטבר
◾ מניעה/איתור: מינון מינימלי, העדפת SGA, ניטור סדרתי ב-AIMS
◾ טיפול: מעכבי VMAT2 (ולבנזין, דאוטטרהבנזין); אנטיכולינרגיים מחמירים TD</t>
        </is>
      </c>
      <c r="G28" s="11" t="inlineStr">
        <is>
          <t>Stahl Essential ch.5; כרטיסיות עמ' 76-83</t>
        </is>
      </c>
    </row>
    <row r="29">
      <c r="A29" s="2" t="n">
        <v>7</v>
      </c>
      <c r="B29" s="2" t="n">
        <v>4</v>
      </c>
      <c r="C29" s="2" t="inlineStr">
        <is>
          <t>דיון</t>
        </is>
      </c>
      <c r="D29" s="11" t="inlineStr">
        <is>
          <t>ECT בילדים ובמתבגרים.</t>
        </is>
      </c>
      <c r="E29" s="11" t="inlineStr">
        <is>
          <t>• מהן ההתוויות העיקריות?
• מהן תופעות הלוואי והשיקולים המשפטיים/אתיים?</t>
        </is>
      </c>
      <c r="F29" s="12" t="inlineStr">
        <is>
          <t>◾ התוויות: קטטוניה, NMS, מאניה חריפה, דיכאון מז'ורי עמיד עם אובדנות/סירוב אכילה, פסיכוזה עמידה
◾ תופעות לוואי: אמנזיה אנטרוגרדית ורטרוגרדית חולפת, בלבול פוסט-איקטלי
◾ שיקולים: הסכמה מדעת, אישור ועדה, נדירות השימוש בקטינים בישראל</t>
        </is>
      </c>
      <c r="G29" s="11" t="inlineStr">
        <is>
          <t>Synopsis ch.22; כרטיסיות עמ' 35-36</t>
        </is>
      </c>
    </row>
    <row r="30">
      <c r="A30" s="13" t="n">
        <v>8</v>
      </c>
      <c r="B30" s="13" t="n">
        <v>1</v>
      </c>
      <c r="C30" s="13" t="inlineStr">
        <is>
          <t>וינייטה</t>
        </is>
      </c>
      <c r="D30" s="11" t="inlineStr">
        <is>
          <t>נערה בת 15, ירידה חדה במשקל, BMI נמוך, אמנוריאה, פחד עז מהשמנה ותפיסת גוף מעוותת.</t>
        </is>
      </c>
      <c r="E30" s="11" t="inlineStr">
        <is>
          <t>• מהי ההערכה הרפואית הדחופה?
• מהו הטיפול מבוסס-הראיות במתבגרים?
• מהו הסיכון המרכזי בחידוש ההזנה וכיצד תמנע/י אותו?</t>
        </is>
      </c>
      <c r="F30" s="12" t="inlineStr">
        <is>
          <t>◾ הערכה רפואית: ברדיקרדיה, תת לחץ דם, אלקטרוליטים, ECG (QTc), צפיפות עצם — ייצוב רפואי קודם לכול
◾ טיפול: FBT (Maudsley) — first-line; תרופות אינן first-line לאנורקסיה
◾ refeeding syndrome: היפופוספטמיה (עם היפוקלמיה/היפומגנזמיה), סיכון לאי-ספיקת לב והפרעות קצב
◾ מניעה: חידוש הזנה הדרגתי עם ניטור אלקטרוליטים ותיסוף פוספט</t>
        </is>
      </c>
      <c r="G30" s="11" t="inlineStr">
        <is>
          <t>Dulcan ch.19; DSM-5-TR עמ' 371-398; כרטיסיות עמ' 111-132</t>
        </is>
      </c>
    </row>
    <row r="31">
      <c r="A31" s="13" t="n">
        <v>8</v>
      </c>
      <c r="B31" s="13" t="n">
        <v>2</v>
      </c>
      <c r="C31" s="13" t="inlineStr">
        <is>
          <t>וינייטה</t>
        </is>
      </c>
      <c r="D31" s="11" t="inlineStr">
        <is>
          <t>אם לילד בן 6 העומד להתחיל כיתה א' פונה אלייך. לילד אנורזיס לילי (הרטבת לילה) בלבד. האם מבקשת לדעת אילו טיפולים אפשריים והאם 'זה יעבור לבד'.</t>
        </is>
      </c>
      <c r="E31" s="11" t="inlineStr">
        <is>
          <t>• מהי ההערכה, ומהי ההבחנה בין אנורזיס ראשוני לשניוני?
• מהם הטיפולים הפרמקולוגיים והלא-פרמקולוגיים ותופעות הלוואי?
• הצע/י תרשים זרימה טיפולי.</t>
        </is>
      </c>
      <c r="F31" s="12" t="inlineStr">
        <is>
          <t>◾ אנורזיס ≥גיל 5; ראשוני (מעולם לא היה יבש) מול שניוני (הישנות אחרי יובש) — שניוני מחייב שלילת גורם (סוכרת, זיהום, סטרס)
◾ שכיחות גבוהה של רמיסיה ספונטנית — הרגעה לגיטימית
◾ לא-פרמקולוגי first-line: מערכת אזעקת-הרטבה (bell-and-pad), חיזוקים חיוביים
◾ פרמקולוגי: דספרסין (desmopressin) לטווח קצר/אירועים — סיכון להיפונתרמיה; TCA (אימיפרמין) בשמורים</t>
        </is>
      </c>
      <c r="G31" s="11" t="inlineStr">
        <is>
          <t>DSM-5-TR עמ' 399-406; Dulcan ch.21; סילבוס עמ' 49 (דוגמה מקורית)</t>
        </is>
      </c>
    </row>
    <row r="32">
      <c r="A32" s="13" t="n">
        <v>8</v>
      </c>
      <c r="B32" s="13" t="n">
        <v>3</v>
      </c>
      <c r="C32" s="13" t="inlineStr">
        <is>
          <t>וינייטה</t>
        </is>
      </c>
      <c r="D32" s="11" t="inlineStr">
        <is>
          <t>ילד בן 5.5 מובא ע"י אמו בשל 'בריחה' של צואה לתחתונים לעיתים. אין בריחת שתן.</t>
        </is>
      </c>
      <c r="E32" s="11" t="inlineStr">
        <is>
          <t>• כיצד מתבצע תהליך ההערכה?
• מהו ההבדל בין אנקופרזיס ראשוני לשניוני ובתחלואה הנלווית?
• מהם הטיפולים המקובלים?</t>
        </is>
      </c>
      <c r="F32" s="12" t="inlineStr">
        <is>
          <t>◾ אנקופרזיס ≥גיל 4; לרוב עם עצירות ו-overflow incontinence (retentive)
◾ הערכה: אנמנזה, בדיקה בטנית/רקטלית, שלילת גורם אורגני (Hirschsprung, היפותירואידיזם)
◾ טיפול: פינוי ראשוני (disimpaction) → משלשלים לתחזוקה → תוכנית התנהגותית וישיבה מתוזמנת בשירותים
◾ התייחסות להיבט הרגשי-משפחתי</t>
        </is>
      </c>
      <c r="G32" s="11" t="inlineStr">
        <is>
          <t>DSM-5-TR עמ' 399-406; סילבוס עמ' 49 (דוגמה מקורית)</t>
        </is>
      </c>
    </row>
    <row r="33">
      <c r="A33" s="2" t="n">
        <v>9</v>
      </c>
      <c r="B33" s="2" t="n">
        <v>1</v>
      </c>
      <c r="C33" s="2" t="inlineStr">
        <is>
          <t>וינייטה</t>
        </is>
      </c>
      <c r="D33" s="11" t="inlineStr">
        <is>
          <t>מתבגר בן 17 עם הפרעת שימוש חמורה באלכוהול מפסיק לשתות באופן פתאומי ומאושפז.</t>
        </is>
      </c>
      <c r="E33" s="11" t="inlineStr">
        <is>
          <t>• תאר/י את ציר הזמן של תסמיני הגמילה.
• מהו הפרוטוקול הטיפולי?
• מדוע יש לתת תיאמין לפני גלוקוז?</t>
        </is>
      </c>
      <c r="F33" s="12" t="inlineStr">
        <is>
          <t>◾ ציר זמן: רעד/חרדה 6-12 שעות; פרכוסים 12-48 שעות; הזיות אלכוהוליות 12-24 שעות; DT 48-72 שעות (תמותה 5-15%)
◾ פרוטוקול: בנזודיאזפינים לפי CIWA-Ar (front-loading); ניטור, נוזלים, אלקטרוליטים
◾ תיאמין לפני גלוקוז: מתן גלוקוז מדלדל תיאמין ועלול להחיש אנצפלופתיה של Wernicke (אטקסיה, אופתלמופלגיה, בלבול)</t>
        </is>
      </c>
      <c r="G33" s="11" t="inlineStr">
        <is>
          <t>Dulcan ch.12; כרטיסיות עמ' 192-202</t>
        </is>
      </c>
    </row>
    <row r="34">
      <c r="A34" s="2" t="n">
        <v>9</v>
      </c>
      <c r="B34" s="2" t="n">
        <v>2</v>
      </c>
      <c r="C34" s="2" t="inlineStr">
        <is>
          <t>וינייטה</t>
        </is>
      </c>
      <c r="D34" s="11" t="inlineStr">
        <is>
          <t>מתבגר עם הפרעת שימוש באופיואידים מעוניין בטיפול.</t>
        </is>
      </c>
      <c r="E34" s="11" t="inlineStr">
        <is>
          <t>• דון/י באפשרויות הטיפול התחזוקתי — מנגנון כל תרופה.
• מהם היתרונות והחסרונות של כל אחת?</t>
        </is>
      </c>
      <c r="F34" s="12" t="inlineStr">
        <is>
          <t>◾ מתדון — אגוניסט מלא ל-mu; יעיל אך סיכון לדיכוי נשימתי ומרשם מבוקר
◾ בופרנורפין — אגוניסט חלקי ל-mu עם 'תקרה' על דיכוי נשימתי (בטוח יותר), לרוב עם נלוקסון (Suboxone)
◾ נלטרקסון — אנטגוניסט (חוסם), דורש גמילה מלאה תחילה
◾ נלוקסון — להיפוך מנת-יתר אקוטית</t>
        </is>
      </c>
      <c r="G34" s="11" t="inlineStr">
        <is>
          <t>Dulcan ch.12; Stahl Essential ch.13; כרטיסיות עמ' 192-202</t>
        </is>
      </c>
    </row>
    <row r="35">
      <c r="A35" s="2" t="n">
        <v>9</v>
      </c>
      <c r="B35" s="2" t="n">
        <v>3</v>
      </c>
      <c r="C35" s="2" t="inlineStr">
        <is>
          <t>דיון</t>
        </is>
      </c>
      <c r="D35" s="11" t="inlineStr">
        <is>
          <t>הסבר/י את הרצף Wernicke-Korsakoff בהפרעת שימוש באלכוהול.</t>
        </is>
      </c>
      <c r="E35" s="11" t="inlineStr">
        <is>
          <t>• מהי הטריאדה של Wernicke?
• מהו המנגנון וכיצד מונעים?</t>
        </is>
      </c>
      <c r="F35" s="12" t="inlineStr">
        <is>
          <t>◾ Wernicke: אטקסיה, אופתלמופלגיה, בלבול — חמצת/חוסר תיאמין, הפיך
◾ Korsakoff: אמנזיה אנטרוגרדית + קונפבולציה — בלתי-הפיך
◾ מנגנון: חוסר תיאמין (קו-פקטור); מניעה: תיאמין לפני גלוקוז</t>
        </is>
      </c>
      <c r="G35" s="11" t="inlineStr">
        <is>
          <t>כרטיסיות עמ' 192-202</t>
        </is>
      </c>
    </row>
    <row r="36">
      <c r="A36" s="13" t="n">
        <v>10</v>
      </c>
      <c r="B36" s="13" t="n">
        <v>1</v>
      </c>
      <c r="C36" s="13" t="inlineStr">
        <is>
          <t>דיון</t>
        </is>
      </c>
      <c r="D36" s="11" t="inlineStr">
        <is>
          <t>הפרעות אישיות ב-DSM-5-TR.</t>
        </is>
      </c>
      <c r="E36" s="11" t="inlineStr">
        <is>
          <t>• תאר/י את שלוש הקבוצות (clusters) ותן/י דוגמה מכל אחת.
• מהם האתגרים באבחון הפרעת אישיות בגיל ההתבגרות?</t>
        </is>
      </c>
      <c r="F36" s="12" t="inlineStr">
        <is>
          <t>◾ Cluster A (מוזר/אקסצנטרי): פרנואידית, סכיזואידית, סכיזוטיפלית
◾ Cluster B (דרמטי/רגשי): אנטיסוציאלית, גבולית, היסטריונית, נרקיסיסטית
◾ Cluster C (חרד): נמנעת, תלותית, אובססיבית-קומפולסיבית
◾ אתגר: זהירות באבחון לפני התייצבות האישיות, אך קווי אישיות ניתנים לזיהוי; ASPD רק מגיל 18</t>
        </is>
      </c>
      <c r="G36" s="11" t="inlineStr">
        <is>
          <t>DSM-5-TR עמ' 733-778; Synopsis ch.19</t>
        </is>
      </c>
    </row>
    <row r="37">
      <c r="A37" s="13" t="n">
        <v>10</v>
      </c>
      <c r="B37" s="13" t="n">
        <v>2</v>
      </c>
      <c r="C37" s="13" t="inlineStr">
        <is>
          <t>וינייטה</t>
        </is>
      </c>
      <c r="D37" s="11" t="inlineStr">
        <is>
          <t>מתבגרת בת 17 עם חוסר יציבות רגשית קיצונית, יחסים בין-אישיים סוערים, פחד עז מנטישה, תחושת ריקנות ופגיעה עצמית חוזרת (NSSI).</t>
        </is>
      </c>
      <c r="E37" s="11" t="inlineStr">
        <is>
          <t>• מהי האבחנה ומהם המנגנונים ההגנתיים המרכזיים?
• מהו הטיפול מבוסס-הראיות?
• מהו תפקיד הטיפול התרופתי?</t>
        </is>
      </c>
      <c r="F37" s="12" t="inlineStr">
        <is>
          <t>◾ BPD; מנגנון מרכזי — פיצול (splitting) וזהות מפוזרת (קרנברג)
◾ טיפול first-line: DBT (וגם MBT, schema therapy)
◾ תרופתי: ממוקד-סימפטום בלבד (לא מרפא) — אנטיפסיכוט/מייצב לאימפולסיביות ותנודתיות
◾ הערכת אובדנות מתמשכת</t>
        </is>
      </c>
      <c r="G37" s="11" t="inlineStr">
        <is>
          <t>כרטיסיות עמ' 203-207; DSM-5-TR עמ' 733-778</t>
        </is>
      </c>
    </row>
    <row r="38">
      <c r="A38" s="13" t="n">
        <v>10</v>
      </c>
      <c r="B38" s="13" t="n">
        <v>3</v>
      </c>
      <c r="C38" s="13" t="inlineStr">
        <is>
          <t>דיון</t>
        </is>
      </c>
      <c r="D38" s="11" t="inlineStr">
        <is>
          <t>הסבר/י את מנגנון הפיצול (splitting) ואת מושג 'ארגון האישיות הגבולי' לפי קרנברג.</t>
        </is>
      </c>
      <c r="E38" s="11" t="inlineStr">
        <is>
          <t>• פיצול
• identity diffusion</t>
        </is>
      </c>
      <c r="F38" s="12" t="inlineStr">
        <is>
          <t>◾ פיצול: תפיסת עצמי ואחרים כ'כולו טוב' או 'כולו רע' לסירוגין — הגנה מרכזית ב-BPD
◾ ארגון אישיות גבולי: זהות מפוזרת (identity diffusion), מבחן מציאות שמור, שימוש בהגנות פרימיטיביות
◾ זיהוי השלכתי (projective identification); טיפול ממוקד-העברה (TFP)</t>
        </is>
      </c>
      <c r="G38" s="11" t="inlineStr">
        <is>
          <t>Synopsis ch.19; כרטיסיות עמ' 259-261</t>
        </is>
      </c>
    </row>
    <row r="39">
      <c r="A39" s="2" t="n">
        <v>11</v>
      </c>
      <c r="B39" s="2" t="n">
        <v>1</v>
      </c>
      <c r="C39" s="2" t="inlineStr">
        <is>
          <t>וינייטה</t>
        </is>
      </c>
      <c r="D39" s="11" t="inlineStr">
        <is>
          <t>מתבגר בן 16 מגיע למיון לאחר ניסיון אובדני (נטילת כדורים).</t>
        </is>
      </c>
      <c r="E39" s="11" t="inlineStr">
        <is>
          <t>• תאר/י את הערכת הסיכון האובדני.
• מהם גורמי הסיכון וגורמי החוסן?
• כיצד תחליט/י על אשפוז מול שחרור עם תוכנית בטיחות?</t>
        </is>
      </c>
      <c r="F39" s="12" t="inlineStr">
        <is>
          <t>◾ הערכה: כוונה, תכנון, אמצעי, קטלניות, חרטה, נגישות לאמצעים
◾ סיכון: ניסיון קודם (המנבא החזק), מין זכר (מושלם), דיכאון/שימוש בחומרים, אובדנות במשפחה, נשק בבית, בריונות
◾ חוסן: תמיכה משפחתית, קשר טיפולי, סיבות לחיות
◾ החלטה: אשפוז אם סיכון גבוה/תוכנית פעילה; שחרור רק עם תוכנית בטיחות, הרחקת אמצעים ומעורבות הורים</t>
        </is>
      </c>
      <c r="G39" s="11" t="inlineStr">
        <is>
          <t>Dulcan ch.26; כרטיסיות עמ' 16-20</t>
        </is>
      </c>
    </row>
    <row r="40">
      <c r="A40" s="2" t="n">
        <v>11</v>
      </c>
      <c r="B40" s="2" t="n">
        <v>2</v>
      </c>
      <c r="C40" s="2" t="inlineStr">
        <is>
          <t>דיון</t>
        </is>
      </c>
      <c r="D40" s="11" t="inlineStr">
        <is>
          <t>פסיכיאטריה משפטית וחוק.</t>
        </is>
      </c>
      <c r="E40" s="11" t="inlineStr">
        <is>
          <t>• הסבר/י את עקרון Tarasoff ואת המתח בין סודיות לחובת הגנה.
• כיצד מתייחס הדין הישראלי לחובת דיווח על התעללות בקטין?</t>
        </is>
      </c>
      <c r="F40" s="12" t="inlineStr">
        <is>
          <t>◾ Tarasoff: חובת המטפל להגן על צד שלישי מזוהה בסכנה ממשית — אזהרה/יידוע רשויות/אשפוז; חריג לסודיות
◾ בישראל: חובת דיווח על פגיעה בקטין — חוק העונשין סעיף 368ד (חובה על כל אדם, ובפרט אנשי מקצוע)
◾ איזון מול חיסיון וטובת הקטין</t>
        </is>
      </c>
      <c r="G40" s="11" t="inlineStr">
        <is>
          <t>Dulcan ch.31; Synopsis ch.28</t>
        </is>
      </c>
    </row>
    <row r="41">
      <c r="A41" s="2" t="n">
        <v>11</v>
      </c>
      <c r="B41" s="2" t="n">
        <v>3</v>
      </c>
      <c r="C41" s="2" t="inlineStr">
        <is>
          <t>דיון</t>
        </is>
      </c>
      <c r="D41" s="11" t="inlineStr">
        <is>
          <t>פסיכיאטריה סב-לידתית (פרינטלית).</t>
        </is>
      </c>
      <c r="E41" s="11" t="inlineStr">
        <is>
          <t>• מהי ההבחנה בין 'baby blues', דיכאון סב-לידתי ופסיכוזה סב-לידתית?
• מהו הטיפול הייחודי החדש ל-PPD?</t>
        </is>
      </c>
      <c r="F41" s="12" t="inlineStr">
        <is>
          <t>◾ baby blues — חולף, שבועיים ראשונים, ללא פגיעה תפקודית
◾ דיכאון סב-לידתי — עומד בקריטריוני MDD עם specifier peripartum; פוגע בתפקוד ובקשר אם-תינוק
◾ פסיכוזה סב-לידתית — חירום פסיכיאטרי (סיכון לתינוק ולאם)
◾ טיפול ייחודי: ברקסנולון/זורנולון (אנלוגים לאלופרגננולון, מודולטורי GABA-A)</t>
        </is>
      </c>
      <c r="G41" s="11" t="inlineStr">
        <is>
          <t>Stahl Essential ch.7; DSM-5-TR</t>
        </is>
      </c>
    </row>
    <row r="42">
      <c r="A42" s="13" t="n">
        <v>12</v>
      </c>
      <c r="B42" s="13" t="n">
        <v>1</v>
      </c>
      <c r="C42" s="13" t="inlineStr">
        <is>
          <t>וינייטה</t>
        </is>
      </c>
      <c r="D42" s="11" t="inlineStr">
        <is>
          <t>תינוק בן 8 חודשים עם היקף ראש באחוזון 95 שעולה בחודשים האחרונים, אנמנזה של נסיגה התפתחותית, ובבדיקה כתמי 'קפה בחלב' (café-au-lait).</t>
        </is>
      </c>
      <c r="E42" s="11" t="inlineStr">
        <is>
          <t>• דון/י באבחנה האפשרית.
• מהו התהליך האבחנתי?
• שים/י דגש על התחלואה הפסיכיאטרית.</t>
        </is>
      </c>
      <c r="F42" s="12" t="inlineStr">
        <is>
          <t>◾ חשד לתסמונת נוירוקוטנאית — נוירופיברומטוזיס type 1 (café-au-lait, נאורופיברומות, Lisch nodules)
◾ אבחנתי: קריטריונים קליניים, בדיקה עינית (Lisch), הדמיה, ייעוץ גנטי (NF1, כרומוזום 17)
◾ תחלואה פסיכיאטרית: ADHD, לקויות למידה, מוגבלות שכלית; ב-TS — אוטיזם ופרכוסים</t>
        </is>
      </c>
      <c r="G42" s="11" t="inlineStr">
        <is>
          <t>Dulcan ch.7; סילבוס עמ' 58 (דוגמה מקורית); כרטיסיות עמ' 293-295</t>
        </is>
      </c>
    </row>
    <row r="43">
      <c r="A43" s="13" t="n">
        <v>12</v>
      </c>
      <c r="B43" s="13" t="n">
        <v>2</v>
      </c>
      <c r="C43" s="13" t="inlineStr">
        <is>
          <t>וינייטה</t>
        </is>
      </c>
      <c r="D43" s="11" t="inlineStr">
        <is>
          <t>ילדה בת 6 החלה כיתה א'; המורה מציינת שלעיתים היא 'בוהה' לשניות, אינה קשובה, וההורים לא הבחינו באירועים דומים.</t>
        </is>
      </c>
      <c r="E43" s="11" t="inlineStr">
        <is>
          <t>• מה הבירור שתעשה/י?
• מה תצפה/י לראות ב-EEG?
• האם יש צורך בהדמיה? מהו הטיפול והפרוגנוזה?</t>
        </is>
      </c>
      <c r="F43" s="12" t="inlineStr">
        <is>
          <t>◾ אבסנס אפילפסיה (petit mal); DDx חשוב מול ADHD (חוסר קשב)
◾ EEG: תבנית 3Hz spike-and-wave כללית; ניתן לעורר בהיפרוונטילציה
◾ הדמיה לרוב לא נדרשת באבסנס טיפוסי
◾ טיפול: אתוסוקסימיד או ולפרואט; פרוגנוזה טובה, לרוב חולף בגיל ההתבגרות</t>
        </is>
      </c>
      <c r="G43" s="11" t="inlineStr">
        <is>
          <t>סילבוס עמ' 57 (דוגמה מקורית); כרטיסיות עמ' 293-295</t>
        </is>
      </c>
    </row>
    <row r="44">
      <c r="A44" s="13" t="n">
        <v>12</v>
      </c>
      <c r="B44" s="13" t="n">
        <v>3</v>
      </c>
      <c r="C44" s="13" t="inlineStr">
        <is>
          <t>דיון</t>
        </is>
      </c>
      <c r="D44" s="11" t="inlineStr">
        <is>
          <t>הסבר/י את המושגים אטקסיה, כוריאה, דיסטוניה ורעד (בתנועה ובמנוחה).</t>
        </is>
      </c>
      <c r="E44" s="11" t="inlineStr">
        <is>
          <t>• הסבר/י כל מושג.
• תן/י דוגמה להפרעה בה מופיע כל אחד.</t>
        </is>
      </c>
      <c r="F44" s="12" t="inlineStr">
        <is>
          <t>◾ אטקסיה — חוסר קואורדינציה (צרבלרי); דוגמה: ataxia-telangiectasia
◾ כוריאה — תנועות לא-רצוניות מהירות; דוגמה: הנטינגטון, כוריאה של סידנהם
◾ דיסטוניה — כיווץ שרירים מתמשך ותנוחות; דוגמה: דיסטוניה אקוטית מאנטיפסיכוט
◾ רעד — במנוחה (פרקינסון) מול בתנועה (רעד מהותי, ליתיום)</t>
        </is>
      </c>
      <c r="G44" s="11" t="inlineStr">
        <is>
          <t>סילבוס עמ' 58 (דוגמה מקורית); כרטיסיות עמ' 293-295</t>
        </is>
      </c>
    </row>
    <row r="45">
      <c r="A45" s="13" t="n">
        <v>12</v>
      </c>
      <c r="B45" s="13" t="n">
        <v>4</v>
      </c>
      <c r="C45" s="13" t="inlineStr">
        <is>
          <t>דיון</t>
        </is>
      </c>
      <c r="D45" s="11" t="inlineStr">
        <is>
          <t>פרט/י את מחלת וילסון (Wilson's disease).</t>
        </is>
      </c>
      <c r="E45" s="11" t="inlineStr">
        <is>
          <t>• מהי ההסתמנות הפסיכיאטרית והנוירולוגית?
• מהו הסימן העיני האופייני והגנטיקה?</t>
        </is>
      </c>
      <c r="F45" s="12" t="inlineStr">
        <is>
          <t>◾ הצטברות נחושת (פגם ב-ATP7B, אוטוזומלי רצסיבי)
◾ הסתמנות: תסמינים פסיכיאטריים (שינויי אישיות, דיכאון, פסיכוזה), תנועתיים וכבדיים
◾ סימן עיני: טבעות Kayser-Fleischer
◾ חשוב לשלול בכל מתבגר עם תסמינים פסיכיאטריים + נוירולוגיים/כבדיים חדשים</t>
        </is>
      </c>
      <c r="G45" s="11" t="inlineStr">
        <is>
          <t>כרטיסיות עמ' 293-295</t>
        </is>
      </c>
    </row>
    <row r="46">
      <c r="A46" s="2" t="n">
        <v>13</v>
      </c>
      <c r="B46" s="2" t="n">
        <v>1</v>
      </c>
      <c r="C46" s="2" t="inlineStr">
        <is>
          <t>וינייטה</t>
        </is>
      </c>
      <c r="D46" s="11" t="inlineStr">
        <is>
          <t>מתבגרת עם פסיכוזה חדה 'לא טיפוסית', קטטוניה, פרכוסים ותנועות אורו-פציאליות דיסקינטיות שהתפתחו תוך שבועות.</t>
        </is>
      </c>
      <c r="E46" s="11" t="inlineStr">
        <is>
          <t>• מהי האבחנה שיש לשלול?
• מהו הבירור?
• מהו הקשר האפשרי לגידול?</t>
        </is>
      </c>
      <c r="F46" s="12" t="inlineStr">
        <is>
          <t>◾ אנצפליטיס אנטי-NMDA-receptor — לשקול בכל פסיכוזה חדה לא-טיפוסית עם תסמינים נוירולוגיים
◾ בירור: ניקור מותני ונוגדנים ל-NMDA-R, MRI, EEG
◾ קשר פרה-נאופלסטי: טרטומה שחלתית (יש לחפש)
◾ טיפול: אימונותרפיה + הסרת הגידול</t>
        </is>
      </c>
      <c r="G46" s="11" t="inlineStr">
        <is>
          <t>כרטיסיות עמ' 293-295</t>
        </is>
      </c>
    </row>
    <row r="47">
      <c r="A47" s="2" t="n">
        <v>13</v>
      </c>
      <c r="B47" s="2" t="n">
        <v>2</v>
      </c>
      <c r="C47" s="2" t="inlineStr">
        <is>
          <t>וינייטה</t>
        </is>
      </c>
      <c r="D47" s="11" t="inlineStr">
        <is>
          <t>ילד בן 12 מגיע למיון באגיטציה חריפה ותוקפנות ומהווה סכנה לעצמו ולסובבים.</t>
        </is>
      </c>
      <c r="E47" s="11" t="inlineStr">
        <is>
          <t>• תאר/י את סדר ההתערבות הנכון.
• מה חשוב לשלול לפני שמייחסים את המצב להפרעה פסיכיאטרית?</t>
        </is>
      </c>
      <c r="F47" s="12" t="inlineStr">
        <is>
          <t>◾ סדר: (1) הפחתת-הסלמה מילולית ושינוי סביבה → (2) הרגעה תרופתית (chemical) לפי גיל/משקל → (3) הגבלה פיזית כמוצא אחרון עם ניטור ותיעוד
◾ לשלול תמיד גורם רפואי/טוקסי: היפוגליקמיה, היפוקסיה, שיכרון/גמילה, דליריום, פגיעת ראש, NMS/תסמונת סרוטונין</t>
        </is>
      </c>
      <c r="G47" s="11" t="inlineStr">
        <is>
          <t>Dulcan ch.29</t>
        </is>
      </c>
    </row>
    <row r="48">
      <c r="A48" s="2" t="n">
        <v>13</v>
      </c>
      <c r="B48" s="2" t="n">
        <v>3</v>
      </c>
      <c r="C48" s="2" t="inlineStr">
        <is>
          <t>דיון</t>
        </is>
      </c>
      <c r="D48" s="11" t="inlineStr">
        <is>
          <t>טיפול קוגניטיבי-התנהגותי (CBT).</t>
        </is>
      </c>
      <c r="E48" s="11" t="inlineStr">
        <is>
          <t>• הסבר/י את המודל הקוגניטיבי (ABC) ואת עקרונות ה-CBT.
• תן/י דוגמה ליישום בהפרעת חרדה בילד.</t>
        </is>
      </c>
      <c r="F48" s="12" t="inlineStr">
        <is>
          <t>◾ מודל: אירוע (A) → מחשבה אוטומטית/עיוות (B) → רגש והתנהגות (C)
◾ עקרונות: זיהוי ואתגור עיוותים (רסטרוקטורינג קוגניטיבי) + טכניקות התנהגותיות (חשיפה מדורגת, הפעלה התנהגותית)
◾ דוגמה בחרדה: חשיפה היררכית לגירוי המפחיד עם ניסויים התנהגותיים ואתגור מחשבות קטסטרופליות</t>
        </is>
      </c>
      <c r="G48" s="11" t="inlineStr">
        <is>
          <t>Dulcan ch.43; כרטיסיות עמ' 278-280</t>
        </is>
      </c>
    </row>
    <row r="49">
      <c r="A49" s="2" t="n">
        <v>13</v>
      </c>
      <c r="B49" s="2" t="n">
        <v>4</v>
      </c>
      <c r="C49" s="2" t="inlineStr">
        <is>
          <t>דיון</t>
        </is>
      </c>
      <c r="D49" s="11" t="inlineStr">
        <is>
          <t>מהו PANDAS?</t>
        </is>
      </c>
      <c r="E49" s="11" t="inlineStr">
        <is>
          <t>• הסבר/י את המנגנון האוטואימוני.
• מהי ההסתמנות הקלינית?</t>
        </is>
      </c>
      <c r="F49" s="12" t="inlineStr">
        <is>
          <t>◾ Pediatric Autoimmune Neuropsychiatric Disorders Associated with Streptococcus
◾ מנגנון: תגובה אוטואימונית פוסט-סטרפטוקוקלית (molecular mimicry) עם נוגדנים כנגד גרעיני הבסיס
◾ הסתמנות: הופעה פתאומית/דרמטית של OCD ו/או טיקים, לעיתים עם רגרסיה התנהגותית
◾ קשר לכוריאה של סידנהם</t>
        </is>
      </c>
      <c r="G49" s="11" t="inlineStr">
        <is>
          <t>כרטיסיות עמ' 293-295</t>
        </is>
      </c>
    </row>
    <row r="50">
      <c r="A50" s="13" t="n">
        <v>14</v>
      </c>
      <c r="B50" s="13" t="n">
        <v>1</v>
      </c>
      <c r="C50" s="13" t="inlineStr">
        <is>
          <t>דיון</t>
        </is>
      </c>
      <c r="D50" s="11" t="inlineStr">
        <is>
          <t>הבהר/י את מושגי היסוד של ויניקוט.</t>
        </is>
      </c>
      <c r="E50" s="11" t="inlineStr">
        <is>
          <t>• 'האם הטובה דיה' (good-enough mother)
• 'אובייקט מעברי' (transitional object)
• 'העצמי הכוזב' (false self)</t>
        </is>
      </c>
      <c r="F50" s="12" t="inlineStr">
        <is>
          <t>◾ אם טובה דיה: התאמה מיטבית (לא מושלמת) לצרכי התינוק, המאפשרת התפתחות בריאה והתמודדות עם תסכול
◾ אובייקט מעברי: תופס את 'המרחב הפוטנציאלי' בין העצמי לאם; תופעה נורמלית המסייעת בהיפרדות
◾ עצמי כוזב: מבנה הגנתי מציות המתפתח כשהסביבה דורשת התאמה על חשבון העצמי האמיתי (holding, true self)</t>
        </is>
      </c>
      <c r="G50" s="11" t="inlineStr">
        <is>
          <t>כרטיסיות עמ' 253-257; סילבוס עמ' 52 (דוגמה מקורית)</t>
        </is>
      </c>
    </row>
    <row r="51">
      <c r="A51" s="13" t="n">
        <v>14</v>
      </c>
      <c r="B51" s="13" t="n">
        <v>2</v>
      </c>
      <c r="C51" s="13" t="inlineStr">
        <is>
          <t>דיון</t>
        </is>
      </c>
      <c r="D51" s="11" t="inlineStr">
        <is>
          <t>תהליך ההיפרדות-אינדיבידואציה לפי מרגרט מאהלר.</t>
        </is>
      </c>
      <c r="E51" s="11" t="inlineStr">
        <is>
          <t>• תאר/י את השלבים ותת-השלבים.
• מהי חשיבותו של תת-השלב rapprochement והרלוונטיות ל-BPD?</t>
        </is>
      </c>
      <c r="F51" s="12" t="inlineStr">
        <is>
          <t>◾ אוטיזם נורמלי → סימביוזה → היפרדות-אינדיבידואציה (בקיעה, תרגול, rapprochement, קביעות אובייקט)
◾ rapprochement (~15-24 חודשים): אמביוולנטיות — התרחקות לחקר וחזרה ל'תדלוק רגשי' מהאם
◾ משבר rapprochement רלוונטי להבנת חוסר יציבות היחסים והזהות ב-BPD
◾ השלב הסופי: קביעות אובייקט רגשית</t>
        </is>
      </c>
      <c r="G51" s="11" t="inlineStr">
        <is>
          <t>כרטיסיות עמ' 258; סילבוס עמ' 42</t>
        </is>
      </c>
    </row>
    <row r="52">
      <c r="A52" s="13" t="n">
        <v>14</v>
      </c>
      <c r="B52" s="13" t="n">
        <v>3</v>
      </c>
      <c r="C52" s="13" t="inlineStr">
        <is>
          <t>דיון</t>
        </is>
      </c>
      <c r="D52" s="11" t="inlineStr">
        <is>
          <t>אנה פרויד מול מלאני קליין.</t>
        </is>
      </c>
      <c r="E52" s="11" t="inlineStr">
        <is>
          <t>• מהם ההבדלים בין הגישות הטיפוליות?
• התייחס/י להעברה, לאבחנה, ולהתייחסות להורים.</t>
        </is>
      </c>
      <c r="F52" s="12" t="inlineStr">
        <is>
          <t>◾ אנה פרויד: פסיכולוגיית האגו, שלב הכנה/ברית טיפולית, דגש על מנגנוני הגנה וצירי התפתחות; שיתוף ההורים
◾ קליין: פרשנות ישירה ומוקדמת של פנטזיות לא-מודעות והעברה; העמדה הסכיזו-פרנואידית והדיכאונית; משחק כשפת הלא-מודע
◾ הבדל בגישה להעברה (קליין — מרכזית ומוקדמת) ולתפקיד ההורים (א. פרויד — מעורבים יותר)</t>
        </is>
      </c>
      <c r="G52" s="11" t="inlineStr">
        <is>
          <t>כרטיסיות עמ' 247-252; סילבוס עמ' 51 (דוגמה מקורית)</t>
        </is>
      </c>
    </row>
    <row r="53">
      <c r="A53" s="13" t="n">
        <v>14</v>
      </c>
      <c r="B53" s="13" t="n">
        <v>4</v>
      </c>
      <c r="C53" s="13" t="inlineStr">
        <is>
          <t>דיון</t>
        </is>
      </c>
      <c r="D53" s="11" t="inlineStr">
        <is>
          <t>רפואה מבוססת ראיות בפסיכיאטריה של הילד.</t>
        </is>
      </c>
      <c r="E53" s="11" t="inlineStr">
        <is>
          <t>• מהי היררכיית הראיות במחקר טיפולי?
• הסבר/י NNT וגודל אפקט, ואת ההבחנה בין מובהקות סטטיסטית למשמעות קלינית.</t>
        </is>
      </c>
      <c r="F53" s="12" t="inlineStr">
        <is>
          <t>◾ היררכיה: מטה-אנליזה/סקירה שיטתית של RCT &gt; RCT בודד &gt; עוקבה &gt; מקרה-ביקורת &gt; סדרת מקרים &gt; דעת מומחה
◾ NNT — מספר המטופלים הדרוש לטיפול כדי למנוע תוצא אחד; גודל אפקט (Cohen's d) — עוצמת ההשפעה
◾ מובהקות סטטיסטית (p) אינה שקולה למשמעות קלינית — מדגם גדול יכול לתת תוצאה מובהקת אך זניחה קלינית</t>
        </is>
      </c>
      <c r="G53" s="11" t="inlineStr">
        <is>
          <t>Dulcan ch.23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2026-09-25T14:52:40Z</dcterms:created>
  <dcterms:modified xmlns:dcterms="http://purl.org/dc/terms/" xmlns:xsi="http://www.w3.org/2001/XMLSchema-instance" xsi:type="dcterms:W3CDTF">2026-09-25T14:52:40Z</dcterms:modified>
</cp:coreProperties>
</file>