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שבועי" sheetId="1" state="visible" r:id="rId1"/>
    <sheet xmlns:r="http://schemas.openxmlformats.org/officeDocument/2006/relationships" name="פירוט פרקים" sheetId="2" state="visible" r:id="rId2"/>
    <sheet xmlns:r="http://schemas.openxmlformats.org/officeDocument/2006/relationships" name="שאלות תרגו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b val="1"/>
      <color rgb="001F6B2E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  <fill>
      <patternFill patternType="solid">
        <fgColor rgb="00FCE8D6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60" customWidth="1" min="8" max="8"/>
    <col width="9" customWidth="1" min="9" max="9"/>
  </cols>
  <sheetData>
    <row r="1">
      <c r="A1" s="1" t="inlineStr">
        <is>
          <t>שבוע</t>
        </is>
      </c>
      <c r="B1" s="1" t="inlineStr">
        <is>
          <t>סוג</t>
        </is>
      </c>
      <c r="C1" s="1" t="inlineStr">
        <is>
          <t>מתאריך</t>
        </is>
      </c>
      <c r="D1" s="1" t="inlineStr">
        <is>
          <t>עד תאריך</t>
        </is>
      </c>
      <c r="E1" s="1" t="inlineStr">
        <is>
          <t>פרקים</t>
        </is>
      </c>
      <c r="F1" s="1" t="inlineStr">
        <is>
          <t>מס' פרקים</t>
        </is>
      </c>
      <c r="G1" s="1" t="inlineStr">
        <is>
          <t>עומס</t>
        </is>
      </c>
      <c r="H1" s="1" t="inlineStr">
        <is>
          <t>תחומים / מוקד</t>
        </is>
      </c>
      <c r="I1" s="1" t="inlineStr">
        <is>
          <t>הושלם</t>
        </is>
      </c>
    </row>
    <row r="2">
      <c r="A2" s="2" t="n">
        <v>1</v>
      </c>
      <c r="B2" s="2" t="inlineStr">
        <is>
          <t>למידה</t>
        </is>
      </c>
      <c r="C2" s="2" t="inlineStr">
        <is>
          <t>27 יול</t>
        </is>
      </c>
      <c r="D2" s="2" t="inlineStr">
        <is>
          <t>2 אוג</t>
        </is>
      </c>
      <c r="E2" s="2" t="inlineStr">
        <is>
          <t>1–9</t>
        </is>
      </c>
      <c r="F2" s="2" t="n">
        <v>9</v>
      </c>
      <c r="G2" s="2" t="n">
        <v>11.4</v>
      </c>
      <c r="H2" s="3" t="inlineStr">
        <is>
          <t>Foundations</t>
        </is>
      </c>
      <c r="I2" s="2" t="inlineStr"/>
    </row>
    <row r="3">
      <c r="A3" s="2" t="n">
        <v>2</v>
      </c>
      <c r="B3" s="2" t="inlineStr">
        <is>
          <t>למידה</t>
        </is>
      </c>
      <c r="C3" s="2" t="inlineStr">
        <is>
          <t>3 אוג</t>
        </is>
      </c>
      <c r="D3" s="2" t="inlineStr">
        <is>
          <t>9 אוג</t>
        </is>
      </c>
      <c r="E3" s="2" t="inlineStr">
        <is>
          <t>10–20</t>
        </is>
      </c>
      <c r="F3" s="2" t="n">
        <v>11</v>
      </c>
      <c r="G3" s="2" t="n">
        <v>12</v>
      </c>
      <c r="H3" s="3" t="inlineStr">
        <is>
          <t>Foundations · Neurodevelopmental</t>
        </is>
      </c>
      <c r="I3" s="2" t="inlineStr"/>
    </row>
    <row r="4">
      <c r="A4" s="2" t="n">
        <v>3</v>
      </c>
      <c r="B4" s="2" t="inlineStr">
        <is>
          <t>למידה</t>
        </is>
      </c>
      <c r="C4" s="2" t="inlineStr">
        <is>
          <t>10 אוג</t>
        </is>
      </c>
      <c r="D4" s="2" t="inlineStr">
        <is>
          <t>16 אוג</t>
        </is>
      </c>
      <c r="E4" s="2" t="inlineStr">
        <is>
          <t>21–30</t>
        </is>
      </c>
      <c r="F4" s="2" t="n">
        <v>10</v>
      </c>
      <c r="G4" s="2" t="n">
        <v>11.3</v>
      </c>
      <c r="H4" s="3" t="inlineStr">
        <is>
          <t>Neurodevelopmental · Mood and Anxiety</t>
        </is>
      </c>
      <c r="I4" s="2" t="inlineStr"/>
    </row>
    <row r="5">
      <c r="A5" s="2" t="n">
        <v>4</v>
      </c>
      <c r="B5" s="2" t="inlineStr">
        <is>
          <t>למידה</t>
        </is>
      </c>
      <c r="C5" s="2" t="inlineStr">
        <is>
          <t>17 אוג</t>
        </is>
      </c>
      <c r="D5" s="2" t="inlineStr">
        <is>
          <t>23 אוג</t>
        </is>
      </c>
      <c r="E5" s="2" t="inlineStr">
        <is>
          <t>31–40</t>
        </is>
      </c>
      <c r="F5" s="2" t="n">
        <v>10</v>
      </c>
      <c r="G5" s="2" t="n">
        <v>11.3</v>
      </c>
      <c r="H5" s="3" t="inlineStr">
        <is>
          <t>Mood and Anxiety</t>
        </is>
      </c>
      <c r="I5" s="2" t="inlineStr"/>
    </row>
    <row r="6">
      <c r="A6" s="2" t="n">
        <v>5</v>
      </c>
      <c r="B6" s="2" t="inlineStr">
        <is>
          <t>למידה</t>
        </is>
      </c>
      <c r="C6" s="2" t="inlineStr">
        <is>
          <t>24 אוג</t>
        </is>
      </c>
      <c r="D6" s="2" t="inlineStr">
        <is>
          <t>30 אוג</t>
        </is>
      </c>
      <c r="E6" s="2" t="inlineStr">
        <is>
          <t>41–51</t>
        </is>
      </c>
      <c r="F6" s="2" t="n">
        <v>11</v>
      </c>
      <c r="G6" s="2" t="n">
        <v>11.4</v>
      </c>
      <c r="H6" s="3" t="inlineStr">
        <is>
          <t>Mood and Anxiety · OCD and Trauma</t>
        </is>
      </c>
      <c r="I6" s="2" t="inlineStr"/>
    </row>
    <row r="7">
      <c r="A7" s="2" t="n">
        <v>6</v>
      </c>
      <c r="B7" s="2" t="inlineStr">
        <is>
          <t>למידה</t>
        </is>
      </c>
      <c r="C7" s="2" t="inlineStr">
        <is>
          <t>31 אוג</t>
        </is>
      </c>
      <c r="D7" s="2" t="inlineStr">
        <is>
          <t>6 ספט</t>
        </is>
      </c>
      <c r="E7" s="2" t="inlineStr">
        <is>
          <t>52–61</t>
        </is>
      </c>
      <c r="F7" s="2" t="n">
        <v>10</v>
      </c>
      <c r="G7" s="2" t="n">
        <v>11.4</v>
      </c>
      <c r="H7" s="3" t="inlineStr">
        <is>
          <t>OCD and Trauma · Psychosis and Antipsychotics</t>
        </is>
      </c>
      <c r="I7" s="2" t="inlineStr"/>
    </row>
    <row r="8">
      <c r="A8" s="2" t="n">
        <v>7</v>
      </c>
      <c r="B8" s="2" t="inlineStr">
        <is>
          <t>למידה</t>
        </is>
      </c>
      <c r="C8" s="2" t="inlineStr">
        <is>
          <t>7 ספט</t>
        </is>
      </c>
      <c r="D8" s="2" t="inlineStr">
        <is>
          <t>13 ספט</t>
        </is>
      </c>
      <c r="E8" s="2" t="inlineStr">
        <is>
          <t>62–70</t>
        </is>
      </c>
      <c r="F8" s="2" t="n">
        <v>9</v>
      </c>
      <c r="G8" s="2" t="n">
        <v>9.800000000000001</v>
      </c>
      <c r="H8" s="3" t="inlineStr">
        <is>
          <t>Psychosis and Antipsychotics</t>
        </is>
      </c>
      <c r="I8" s="2" t="inlineStr"/>
    </row>
    <row r="9">
      <c r="A9" s="2" t="n">
        <v>8</v>
      </c>
      <c r="B9" s="2" t="inlineStr">
        <is>
          <t>למידה</t>
        </is>
      </c>
      <c r="C9" s="2" t="inlineStr">
        <is>
          <t>14 ספט</t>
        </is>
      </c>
      <c r="D9" s="2" t="inlineStr">
        <is>
          <t>20 ספט</t>
        </is>
      </c>
      <c r="E9" s="2" t="inlineStr">
        <is>
          <t>71–80</t>
        </is>
      </c>
      <c r="F9" s="2" t="n">
        <v>10</v>
      </c>
      <c r="G9" s="2" t="n">
        <v>9.199999999999999</v>
      </c>
      <c r="H9" s="3" t="inlineStr">
        <is>
          <t>Sleep, Eating, Elimination</t>
        </is>
      </c>
      <c r="I9" s="2" t="inlineStr"/>
    </row>
    <row r="10">
      <c r="A10" s="2" t="n">
        <v>9</v>
      </c>
      <c r="B10" s="2" t="inlineStr">
        <is>
          <t>למידה</t>
        </is>
      </c>
      <c r="C10" s="2" t="inlineStr">
        <is>
          <t>21 ספט</t>
        </is>
      </c>
      <c r="D10" s="2" t="inlineStr">
        <is>
          <t>27 ספט</t>
        </is>
      </c>
      <c r="E10" s="2" t="inlineStr">
        <is>
          <t>81–90</t>
        </is>
      </c>
      <c r="F10" s="2" t="n">
        <v>10</v>
      </c>
      <c r="G10" s="2" t="n">
        <v>10.2</v>
      </c>
      <c r="H10" s="3" t="inlineStr">
        <is>
          <t>Substance Use</t>
        </is>
      </c>
      <c r="I10" s="2" t="inlineStr"/>
    </row>
    <row r="11">
      <c r="A11" s="2" t="n">
        <v>10</v>
      </c>
      <c r="B11" s="2" t="inlineStr">
        <is>
          <t>למידה</t>
        </is>
      </c>
      <c r="C11" s="2" t="inlineStr">
        <is>
          <t>28 ספט</t>
        </is>
      </c>
      <c r="D11" s="2" t="inlineStr">
        <is>
          <t>4 אוק</t>
        </is>
      </c>
      <c r="E11" s="2" t="inlineStr">
        <is>
          <t>91–101</t>
        </is>
      </c>
      <c r="F11" s="2" t="n">
        <v>11</v>
      </c>
      <c r="G11" s="2" t="n">
        <v>11.4</v>
      </c>
      <c r="H11" s="3" t="inlineStr">
        <is>
          <t>Personality + Special Populations</t>
        </is>
      </c>
      <c r="I11" s="2" t="inlineStr"/>
    </row>
    <row r="12">
      <c r="A12" s="2" t="n">
        <v>11</v>
      </c>
      <c r="B12" s="2" t="inlineStr">
        <is>
          <t>למידה</t>
        </is>
      </c>
      <c r="C12" s="2" t="inlineStr">
        <is>
          <t>5 אוק</t>
        </is>
      </c>
      <c r="D12" s="2" t="inlineStr">
        <is>
          <t>11 אוק</t>
        </is>
      </c>
      <c r="E12" s="2" t="inlineStr">
        <is>
          <t>102–112</t>
        </is>
      </c>
      <c r="F12" s="2" t="n">
        <v>11</v>
      </c>
      <c r="G12" s="2" t="n">
        <v>12.4</v>
      </c>
      <c r="H12" s="3" t="inlineStr">
        <is>
          <t>Personality + Special Populations</t>
        </is>
      </c>
      <c r="I12" s="2" t="inlineStr"/>
    </row>
    <row r="13">
      <c r="A13" s="2" t="n">
        <v>12</v>
      </c>
      <c r="B13" s="2" t="inlineStr">
        <is>
          <t>למידה</t>
        </is>
      </c>
      <c r="C13" s="2" t="inlineStr">
        <is>
          <t>12 אוק</t>
        </is>
      </c>
      <c r="D13" s="2" t="inlineStr">
        <is>
          <t>18 אוק</t>
        </is>
      </c>
      <c r="E13" s="2" t="inlineStr">
        <is>
          <t>113–124</t>
        </is>
      </c>
      <c r="F13" s="2" t="n">
        <v>12</v>
      </c>
      <c r="G13" s="2" t="n">
        <v>11.3</v>
      </c>
      <c r="H13" s="3" t="inlineStr">
        <is>
          <t>Personality + Special Populations · Neurology + Cross-cutting</t>
        </is>
      </c>
      <c r="I13" s="2" t="inlineStr"/>
    </row>
    <row r="14">
      <c r="A14" s="2" t="n">
        <v>13</v>
      </c>
      <c r="B14" s="2" t="inlineStr">
        <is>
          <t>למידה</t>
        </is>
      </c>
      <c r="C14" s="2" t="inlineStr">
        <is>
          <t>19 אוק</t>
        </is>
      </c>
      <c r="D14" s="2" t="inlineStr">
        <is>
          <t>25 אוק</t>
        </is>
      </c>
      <c r="E14" s="2" t="inlineStr">
        <is>
          <t>125–134</t>
        </is>
      </c>
      <c r="F14" s="2" t="n">
        <v>10</v>
      </c>
      <c r="G14" s="2" t="n">
        <v>12.1</v>
      </c>
      <c r="H14" s="3" t="inlineStr">
        <is>
          <t>Neurology + Cross-cutting · Psychotherapy + Integration</t>
        </is>
      </c>
      <c r="I14" s="2" t="inlineStr"/>
    </row>
    <row r="15">
      <c r="A15" s="2" t="n">
        <v>14</v>
      </c>
      <c r="B15" s="2" t="inlineStr">
        <is>
          <t>למידה</t>
        </is>
      </c>
      <c r="C15" s="2" t="inlineStr">
        <is>
          <t>26 אוק</t>
        </is>
      </c>
      <c r="D15" s="2" t="inlineStr">
        <is>
          <t>1 נוב</t>
        </is>
      </c>
      <c r="E15" s="2" t="inlineStr">
        <is>
          <t>135–144</t>
        </is>
      </c>
      <c r="F15" s="2" t="n">
        <v>10</v>
      </c>
      <c r="G15" s="2" t="n">
        <v>11.3</v>
      </c>
      <c r="H15" s="3" t="inlineStr">
        <is>
          <t>Psychotherapy + Integration</t>
        </is>
      </c>
      <c r="I15" s="2" t="inlineStr"/>
    </row>
    <row r="16">
      <c r="A16" s="4" t="n">
        <v>15</v>
      </c>
      <c r="B16" s="4" t="inlineStr">
        <is>
          <t>חזרה</t>
        </is>
      </c>
      <c r="C16" s="4" t="inlineStr">
        <is>
          <t>2 נוב</t>
        </is>
      </c>
      <c r="D16" s="4" t="inlineStr">
        <is>
          <t>8 נוב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5" t="inlineStr">
        <is>
          <t>חזרה מרוכזת — חצי ראשון (פאזות 1–6) — מעבר על נקודות ה-high-yield, כל הכרטיסיות שבתור, וסימון נקודות חולשה.</t>
        </is>
      </c>
      <c r="I16" s="4" t="inlineStr"/>
    </row>
    <row r="17">
      <c r="A17" s="4" t="n">
        <v>16</v>
      </c>
      <c r="B17" s="4" t="inlineStr">
        <is>
          <t>חזרה</t>
        </is>
      </c>
      <c r="C17" s="4" t="inlineStr">
        <is>
          <t>9 נוב</t>
        </is>
      </c>
      <c r="D17" s="4" t="inlineStr">
        <is>
          <t>15 נוב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5" t="inlineStr">
        <is>
          <t>חזרה מרוכזת — חצי שני (פאזות 7–10) — מעבר על נקודות ה-high-yield, כל הכרטיסיות שבתור, וסימון נקודות חולשה.</t>
        </is>
      </c>
      <c r="I17" s="4" t="inlineStr"/>
    </row>
    <row r="18">
      <c r="A18" s="4" t="n">
        <v>17</v>
      </c>
      <c r="B18" s="4" t="inlineStr">
        <is>
          <t>חזרה</t>
        </is>
      </c>
      <c r="C18" s="4" t="inlineStr">
        <is>
          <t>16 נוב</t>
        </is>
      </c>
      <c r="D18" s="4" t="inlineStr">
        <is>
          <t>22 נוב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5" t="inlineStr">
        <is>
          <t>מבחני תרגול + נקודות חולשה — וינייטות ומבחני תרגול; חזרה ממוקדת רק לנושאים שסומנו כחלשים בשבועיים הקודמים.</t>
        </is>
      </c>
      <c r="I18" s="4" t="inlineStr"/>
    </row>
    <row r="19">
      <c r="A19" s="6" t="inlineStr">
        <is>
          <t>בחינה</t>
        </is>
      </c>
      <c r="B19" s="6" t="inlineStr">
        <is>
          <t>—</t>
        </is>
      </c>
      <c r="C19" s="6" t="inlineStr">
        <is>
          <t>23 נוב</t>
        </is>
      </c>
      <c r="D19" s="6" t="inlineStr">
        <is>
          <t>25 נוב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7" t="inlineStr">
        <is>
          <t>שבוע הבחינה — מנוחה וחזרה קלה בלבד — לא ללמוד חומר חדש. סקירת high-yield וכרטיסיות אדומות.</t>
        </is>
      </c>
      <c r="I19" s="6" t="inlineStr"/>
    </row>
  </sheetData>
  <dataValidations count="1">
    <dataValidation sqref="I2:I19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9" customWidth="1" min="4" max="4"/>
    <col width="7" customWidth="1" min="5" max="5"/>
    <col width="52" customWidth="1" min="6" max="6"/>
    <col width="9" customWidth="1" min="7" max="7"/>
  </cols>
  <sheetData>
    <row r="1">
      <c r="A1" s="8" t="inlineStr">
        <is>
          <t>התקדמות:</t>
        </is>
      </c>
      <c r="B1" s="9" t="inlineStr">
        <is>
          <t>הושלמו</t>
        </is>
      </c>
      <c r="C1" s="9">
        <f>COUNTIF(G4:G147,"✓")</f>
        <v/>
      </c>
      <c r="D1" s="9" t="inlineStr">
        <is>
          <t>מתוך</t>
        </is>
      </c>
      <c r="E1" s="9">
        <f>COUNTA(A4:A147)</f>
        <v/>
      </c>
      <c r="F1" s="9" t="inlineStr">
        <is>
          <t>אחוז</t>
        </is>
      </c>
      <c r="G1" s="10">
        <f>IF(E1=0,0,C1/E1)</f>
        <v/>
      </c>
    </row>
    <row r="3">
      <c r="A3" s="1" t="inlineStr">
        <is>
          <t>פרק</t>
        </is>
      </c>
      <c r="B3" s="1" t="inlineStr">
        <is>
          <t>נושא</t>
        </is>
      </c>
      <c r="C3" s="1" t="inlineStr">
        <is>
          <t>פאזה</t>
        </is>
      </c>
      <c r="D3" s="1" t="inlineStr">
        <is>
          <t>צפיפות</t>
        </is>
      </c>
      <c r="E3" s="1" t="inlineStr">
        <is>
          <t>שבוע</t>
        </is>
      </c>
      <c r="F3" s="1" t="inlineStr">
        <is>
          <t>מדריך קריאה (עמודים בספרים)</t>
        </is>
      </c>
      <c r="G3" s="1" t="inlineStr">
        <is>
          <t>הושלם</t>
        </is>
      </c>
    </row>
    <row r="4">
      <c r="A4" s="11" t="n">
        <v>1</v>
      </c>
      <c r="B4" s="12" t="inlineStr">
        <is>
          <t>בדיקת ילד ומתבגר</t>
        </is>
      </c>
      <c r="C4" s="11" t="inlineStr">
        <is>
          <t>1. Foundations</t>
        </is>
      </c>
      <c r="D4" s="11" t="inlineStr">
        <is>
          <t>גבוהה</t>
        </is>
      </c>
      <c r="E4" s="11" t="n">
        <v>1</v>
      </c>
      <c r="F4" s="12" t="inlineStr">
        <is>
          <t>Dulcan: פרק 1+4+5, עמ' 3-16, 59-90</t>
        </is>
      </c>
      <c r="G4" s="11" t="inlineStr"/>
    </row>
    <row r="5">
      <c r="A5" s="11" t="n">
        <v>2</v>
      </c>
      <c r="B5" s="12" t="inlineStr">
        <is>
          <t>יסודות נוירואנטומיה לפסיכיאטר</t>
        </is>
      </c>
      <c r="C5" s="11" t="inlineStr">
        <is>
          <t>1. Foundations</t>
        </is>
      </c>
      <c r="D5" s="11" t="inlineStr">
        <is>
          <t>גבוהה</t>
        </is>
      </c>
      <c r="E5" s="11" t="n">
        <v>1</v>
      </c>
      <c r="F5" s="12" t="inlineStr">
        <is>
          <t>Dulcan: פרק 6, עמ' 91-106
Stahl Essential: פרק 1, עמ' 1-28
כרטיסיות: עמ' 283-285</t>
        </is>
      </c>
      <c r="G5" s="11" t="inlineStr"/>
    </row>
    <row r="6">
      <c r="A6" s="11" t="n">
        <v>3</v>
      </c>
      <c r="B6" s="12" t="inlineStr">
        <is>
          <t>סקירה: נוירוטרנסמיטרים</t>
        </is>
      </c>
      <c r="C6" s="11" t="inlineStr">
        <is>
          <t>1. Foundations</t>
        </is>
      </c>
      <c r="D6" s="11" t="inlineStr">
        <is>
          <t>גבוהה</t>
        </is>
      </c>
      <c r="E6" s="11" t="n">
        <v>1</v>
      </c>
      <c r="F6" s="12" t="inlineStr">
        <is>
          <t>Stahl Essential: פרק 1+2, עמ' 1-50
כרטיסיות: עמ' 281-282</t>
        </is>
      </c>
      <c r="G6" s="11" t="inlineStr"/>
    </row>
    <row r="7">
      <c r="A7" s="11" t="n">
        <v>4</v>
      </c>
      <c r="B7" s="12" t="inlineStr">
        <is>
          <t>מסלולי דופמין</t>
        </is>
      </c>
      <c r="C7" s="11" t="inlineStr">
        <is>
          <t>1. Foundations</t>
        </is>
      </c>
      <c r="D7" s="11" t="inlineStr">
        <is>
          <t>גבוהה</t>
        </is>
      </c>
      <c r="E7" s="11" t="n">
        <v>1</v>
      </c>
      <c r="F7" s="12" t="inlineStr">
        <is>
          <t>Stahl Essential: פרק 4, עמ' 77-158
כרטיסיות: עמ' 281-282</t>
        </is>
      </c>
      <c r="G7" s="11" t="inlineStr"/>
    </row>
    <row r="8">
      <c r="A8" s="11" t="n">
        <v>5</v>
      </c>
      <c r="B8" s="12" t="inlineStr">
        <is>
          <t>מערכת הסרוטונין</t>
        </is>
      </c>
      <c r="C8" s="11" t="inlineStr">
        <is>
          <t>1. Foundations</t>
        </is>
      </c>
      <c r="D8" s="11" t="inlineStr">
        <is>
          <t>גבוהה</t>
        </is>
      </c>
      <c r="E8" s="11" t="n">
        <v>1</v>
      </c>
      <c r="F8" s="12" t="inlineStr">
        <is>
          <t>Stahl Essential: פרק 5, עמ' 159-243
כרטיסיות: עמ' 281-282</t>
        </is>
      </c>
      <c r="G8" s="11" t="inlineStr"/>
    </row>
    <row r="9">
      <c r="A9" s="11" t="n">
        <v>6</v>
      </c>
      <c r="B9" s="12" t="inlineStr">
        <is>
          <t>מערכת הנוראפינפרין</t>
        </is>
      </c>
      <c r="C9" s="11" t="inlineStr">
        <is>
          <t>1. Foundations</t>
        </is>
      </c>
      <c r="D9" s="11" t="inlineStr">
        <is>
          <t>בינונית</t>
        </is>
      </c>
      <c r="E9" s="11" t="n">
        <v>1</v>
      </c>
      <c r="F9" s="12" t="inlineStr">
        <is>
          <t>Stahl Essential: פרק 6, עמ' 244-282
כרטיסיות: עמ' 281-282</t>
        </is>
      </c>
      <c r="G9" s="11" t="inlineStr"/>
    </row>
    <row r="10">
      <c r="A10" s="11" t="n">
        <v>7</v>
      </c>
      <c r="B10" s="12" t="inlineStr">
        <is>
          <t>איזון GABA / גלוטמט</t>
        </is>
      </c>
      <c r="C10" s="11" t="inlineStr">
        <is>
          <t>1. Foundations</t>
        </is>
      </c>
      <c r="D10" s="11" t="inlineStr">
        <is>
          <t>גבוהה</t>
        </is>
      </c>
      <c r="E10" s="11" t="n">
        <v>1</v>
      </c>
      <c r="F10" s="12" t="inlineStr">
        <is>
          <t>Stahl Essential: פרק 3+6, עמ' 51-76, 244-282
כרטיסיות: עמ' 281-282</t>
        </is>
      </c>
      <c r="G10" s="11" t="inlineStr"/>
    </row>
    <row r="11">
      <c r="A11" s="11" t="n">
        <v>8</v>
      </c>
      <c r="B11" s="12" t="inlineStr">
        <is>
          <t>התפתחות נורמטיבית: גיל הינקות (0-2)</t>
        </is>
      </c>
      <c r="C11" s="11" t="inlineStr">
        <is>
          <t>1. Foundations</t>
        </is>
      </c>
      <c r="D11" s="11" t="inlineStr">
        <is>
          <t>בינונית</t>
        </is>
      </c>
      <c r="E11" s="11" t="n">
        <v>1</v>
      </c>
      <c r="F11" s="12" t="inlineStr">
        <is>
          <t>Dulcan: פרק 2, עמ' 17-38
כרטיסיות: עמ' 300, 304-307</t>
        </is>
      </c>
      <c r="G11" s="11" t="inlineStr"/>
    </row>
    <row r="12">
      <c r="A12" s="11" t="n">
        <v>9</v>
      </c>
      <c r="B12" s="12" t="inlineStr">
        <is>
          <t>התפתחות נורמטיבית: גיל הגן (2-5)</t>
        </is>
      </c>
      <c r="C12" s="11" t="inlineStr">
        <is>
          <t>1. Foundations</t>
        </is>
      </c>
      <c r="D12" s="11" t="inlineStr">
        <is>
          <t>בינונית</t>
        </is>
      </c>
      <c r="E12" s="11" t="n">
        <v>1</v>
      </c>
      <c r="F12" s="12" t="inlineStr">
        <is>
          <t>Dulcan: פרק 3, עמ' 39-58
כרטיסיות: עמ' 302-307</t>
        </is>
      </c>
      <c r="G12" s="11" t="inlineStr"/>
    </row>
    <row r="13">
      <c r="A13" s="11" t="n">
        <v>10</v>
      </c>
      <c r="B13" s="12" t="inlineStr">
        <is>
          <t>התפתחות נורמטיבית: גיל בית ספר (6-12)</t>
        </is>
      </c>
      <c r="C13" s="11" t="inlineStr">
        <is>
          <t>1. Foundations</t>
        </is>
      </c>
      <c r="D13" s="11" t="inlineStr">
        <is>
          <t>בינונית</t>
        </is>
      </c>
      <c r="E13" s="11" t="n">
        <v>2</v>
      </c>
      <c r="F13" s="12" t="inlineStr">
        <is>
          <t>Dulcan: פרק 4, עמ' 59-74
כרטיסיות: עמ' 302-303</t>
        </is>
      </c>
      <c r="G13" s="11" t="inlineStr"/>
    </row>
    <row r="14">
      <c r="A14" s="11" t="n">
        <v>11</v>
      </c>
      <c r="B14" s="12" t="inlineStr">
        <is>
          <t>התפתחות נורמטיבית: גיל ההתבגרות (13-18)</t>
        </is>
      </c>
      <c r="C14" s="11" t="inlineStr">
        <is>
          <t>1. Foundations</t>
        </is>
      </c>
      <c r="D14" s="11" t="inlineStr">
        <is>
          <t>בינונית</t>
        </is>
      </c>
      <c r="E14" s="11" t="n">
        <v>2</v>
      </c>
      <c r="F14" s="12" t="inlineStr">
        <is>
          <t>Dulcan: פרק 5, עמ' 75-90</t>
        </is>
      </c>
      <c r="G14" s="11" t="inlineStr"/>
    </row>
    <row r="15">
      <c r="A15" s="11" t="n">
        <v>12</v>
      </c>
      <c r="B15" s="12" t="inlineStr">
        <is>
          <t>תורת ההתקשרות ומנטליזציה</t>
        </is>
      </c>
      <c r="C15" s="11" t="inlineStr">
        <is>
          <t>1. Foundations</t>
        </is>
      </c>
      <c r="D15" s="11" t="inlineStr">
        <is>
          <t>בינונית</t>
        </is>
      </c>
      <c r="E15" s="11" t="n">
        <v>2</v>
      </c>
      <c r="F15" s="12" t="inlineStr">
        <is>
          <t>Dulcan: פרק 2, עמ' 17-38
Synopsis: פרק 32
כרטיסיות: עמ' 275-277, 304-307
ℹ תיאוריה — מהכרטיסיות ומ-Synopsis; אין פרק ייעודי ב-Dulcan</t>
        </is>
      </c>
      <c r="G15" s="11" t="inlineStr"/>
    </row>
    <row r="16">
      <c r="A16" s="11" t="n">
        <v>13</v>
      </c>
      <c r="B16" s="12" t="inlineStr">
        <is>
          <t>טמפרמנט</t>
        </is>
      </c>
      <c r="C16" s="11" t="inlineStr">
        <is>
          <t>1. Foundations</t>
        </is>
      </c>
      <c r="D16" s="11" t="inlineStr">
        <is>
          <t>נמוכה</t>
        </is>
      </c>
      <c r="E16" s="11" t="n">
        <v>2</v>
      </c>
      <c r="F16" s="12" t="inlineStr">
        <is>
          <t>Synopsis: פרק 32
כרטיסיות: עמ' 301
ℹ תיאוריה — מהכרטיסיות ומ-Synopsis; אין פרק ייעודי ב-Dulcan</t>
        </is>
      </c>
      <c r="G16" s="11" t="inlineStr"/>
    </row>
    <row r="17">
      <c r="A17" s="11" t="n">
        <v>14</v>
      </c>
      <c r="B17" s="12" t="inlineStr">
        <is>
          <t>קריטריונים כלליים להפרעת אישיות</t>
        </is>
      </c>
      <c r="C17" s="11" t="inlineStr">
        <is>
          <t>1. Foundations</t>
        </is>
      </c>
      <c r="D17" s="11" t="inlineStr">
        <is>
          <t>בינונית</t>
        </is>
      </c>
      <c r="E17" s="11" t="n">
        <v>2</v>
      </c>
      <c r="F17" s="12" t="inlineStr">
        <is>
          <t>DSM-5-TR: Personality Disorders, עמ' 733-778
Synopsis: פרק 19</t>
        </is>
      </c>
      <c r="G17" s="11" t="inlineStr"/>
    </row>
    <row r="18">
      <c r="A18" s="11" t="n">
        <v>15</v>
      </c>
      <c r="B18" s="12" t="inlineStr">
        <is>
          <t>מצב רוח, אפקט, טמפרמנט — הערכה קלינית</t>
        </is>
      </c>
      <c r="C18" s="11" t="inlineStr">
        <is>
          <t>1. Foundations</t>
        </is>
      </c>
      <c r="D18" s="11" t="inlineStr">
        <is>
          <t>נמוכה</t>
        </is>
      </c>
      <c r="E18" s="11" t="n">
        <v>2</v>
      </c>
      <c r="F18" s="12" t="inlineStr">
        <is>
          <t>Dulcan: פרק 1, עמ' 3-16</t>
        </is>
      </c>
      <c r="G18" s="11" t="inlineStr"/>
    </row>
    <row r="19">
      <c r="A19" s="11" t="n">
        <v>16</v>
      </c>
      <c r="B19" s="12" t="inlineStr">
        <is>
          <t>עקרונות פסיכופרמקולוגיה בילדים ובמתבגרים</t>
        </is>
      </c>
      <c r="C19" s="11" t="inlineStr">
        <is>
          <t>1. Foundations</t>
        </is>
      </c>
      <c r="D19" s="11" t="inlineStr">
        <is>
          <t>גבוהה</t>
        </is>
      </c>
      <c r="E19" s="11" t="n">
        <v>2</v>
      </c>
      <c r="F19" s="12" t="inlineStr">
        <is>
          <t>Dulcan: פרק 33, עמ' 677-694
כרטיסיות: עמ' 281-282</t>
        </is>
      </c>
      <c r="G19" s="11" t="inlineStr"/>
    </row>
    <row r="20">
      <c r="A20" s="11" t="n">
        <v>17</v>
      </c>
      <c r="B20" s="12" t="inlineStr">
        <is>
          <t>הפרעת קשב וריכוז (ADHD) — ליבה</t>
        </is>
      </c>
      <c r="C20" s="11" t="inlineStr">
        <is>
          <t>2. Neurodevelopmental</t>
        </is>
      </c>
      <c r="D20" s="11" t="inlineStr">
        <is>
          <t>גבוהה</t>
        </is>
      </c>
      <c r="E20" s="11" t="n">
        <v>2</v>
      </c>
      <c r="F20" s="12" t="inlineStr">
        <is>
          <t>Dulcan: פרק 10, עמ' 173-196
DSM-5-TR: Neurodevelopmental, עמ' 35-100
Stahl Essential: פרק 11, עמ' 449-485
כרטיסיות: עמ' 133-144</t>
        </is>
      </c>
      <c r="G20" s="11" t="inlineStr"/>
    </row>
    <row r="21">
      <c r="A21" s="11" t="n">
        <v>18</v>
      </c>
      <c r="B21" s="12" t="inlineStr">
        <is>
          <t>טיפול ב-ADHD: סטימולנטים</t>
        </is>
      </c>
      <c r="C21" s="11" t="inlineStr">
        <is>
          <t>2. Neurodevelopmental</t>
        </is>
      </c>
      <c r="D21" s="11" t="inlineStr">
        <is>
          <t>גבוהה</t>
        </is>
      </c>
      <c r="E21" s="11" t="n">
        <v>2</v>
      </c>
      <c r="F21" s="12" t="inlineStr">
        <is>
          <t>Dulcan: פרק 34, עמ' 695-728
Stahl Essential: פרק 11, עמ' 449-485
Stahl C&amp;A: amphetamine-d, amphetamine-d,l, lisdexamfetamine, methylphenidate-d, methylphenidate-d,l (עמ' 1-36, 269-284, 313-350)
כרטיסיות: עמ' 133-144</t>
        </is>
      </c>
      <c r="G21" s="11" t="inlineStr"/>
    </row>
    <row r="22">
      <c r="A22" s="11" t="n">
        <v>19</v>
      </c>
      <c r="B22" s="12" t="inlineStr">
        <is>
          <t>טיפול ב-ADHD: לא-סטימולנטים</t>
        </is>
      </c>
      <c r="C22" s="11" t="inlineStr">
        <is>
          <t>2. Neurodevelopmental</t>
        </is>
      </c>
      <c r="D22" s="11" t="inlineStr">
        <is>
          <t>בינונית</t>
        </is>
      </c>
      <c r="E22" s="11" t="n">
        <v>2</v>
      </c>
      <c r="F22" s="12" t="inlineStr">
        <is>
          <t>Dulcan: פרק 34, עמ' 695-728
Stahl Essential: פרק 11, עמ' 449-485
Stahl C&amp;A: atomoxetine, clonidine, guanfacine, bupropion (עמ' 69-96, 141-154, 243-254)
כרטיסיות: עמ' 133-144</t>
        </is>
      </c>
      <c r="G22" s="11" t="inlineStr"/>
    </row>
    <row r="23">
      <c r="A23" s="11" t="n">
        <v>20</v>
      </c>
      <c r="B23" s="12" t="inlineStr">
        <is>
          <t>הפרעה אוטיסטית (ASD)</t>
        </is>
      </c>
      <c r="C23" s="11" t="inlineStr">
        <is>
          <t>2. Neurodevelopmental</t>
        </is>
      </c>
      <c r="D23" s="11" t="inlineStr">
        <is>
          <t>גבוהה</t>
        </is>
      </c>
      <c r="E23" s="11" t="n">
        <v>2</v>
      </c>
      <c r="F23" s="12" t="inlineStr">
        <is>
          <t>Dulcan: פרק 8, עמ' 135-156
DSM-5-TR: Neurodevelopmental, עמ' 35-100
כרטיסיות: עמ' 145-156</t>
        </is>
      </c>
      <c r="G23" s="11" t="inlineStr"/>
    </row>
    <row r="24">
      <c r="A24" s="11" t="n">
        <v>21</v>
      </c>
      <c r="B24" s="12" t="inlineStr">
        <is>
          <t>מוגבלות שכלית התפתחותית</t>
        </is>
      </c>
      <c r="C24" s="11" t="inlineStr">
        <is>
          <t>2. Neurodevelopmental</t>
        </is>
      </c>
      <c r="D24" s="11" t="inlineStr">
        <is>
          <t>גבוהה</t>
        </is>
      </c>
      <c r="E24" s="11" t="n">
        <v>3</v>
      </c>
      <c r="F24" s="12" t="inlineStr">
        <is>
          <t>Dulcan: פרק 7, עמ' 107-134
DSM-5-TR: Neurodevelopmental, עמ' 35-100
כרטיסיות: עמ' 160-162</t>
        </is>
      </c>
      <c r="G24" s="11" t="inlineStr"/>
    </row>
    <row r="25">
      <c r="A25" s="11" t="n">
        <v>22</v>
      </c>
      <c r="B25" s="12" t="inlineStr">
        <is>
          <t>הפרעות למידה ספציפיות (SLD)</t>
        </is>
      </c>
      <c r="C25" s="11" t="inlineStr">
        <is>
          <t>2. Neurodevelopmental</t>
        </is>
      </c>
      <c r="D25" s="11" t="inlineStr">
        <is>
          <t>בינונית</t>
        </is>
      </c>
      <c r="E25" s="11" t="n">
        <v>3</v>
      </c>
      <c r="F25" s="12" t="inlineStr">
        <is>
          <t>Dulcan: פרק 9, עמ' 157-172
DSM-5-TR: Neurodevelopmental, עמ' 35-100
כרטיסיות: עמ' 157-159</t>
        </is>
      </c>
      <c r="G25" s="11" t="inlineStr"/>
    </row>
    <row r="26">
      <c r="A26" s="11" t="n">
        <v>23</v>
      </c>
      <c r="B26" s="12" t="inlineStr">
        <is>
          <t>הפרעות תקשורת (שפה, הפקת דיבור, גמגום, פרגמטי)</t>
        </is>
      </c>
      <c r="C26" s="11" t="inlineStr">
        <is>
          <t>2. Neurodevelopmental</t>
        </is>
      </c>
      <c r="D26" s="11" t="inlineStr">
        <is>
          <t>בינונית</t>
        </is>
      </c>
      <c r="E26" s="11" t="n">
        <v>3</v>
      </c>
      <c r="F26" s="12" t="inlineStr">
        <is>
          <t>Dulcan: פרק 9, עמ' 157-172
DSM-5-TR: Neurodevelopmental, עמ' 35-100
כרטיסיות: עמ' 176-180</t>
        </is>
      </c>
      <c r="G26" s="11" t="inlineStr"/>
    </row>
    <row r="27">
      <c r="A27" s="11" t="n">
        <v>24</v>
      </c>
      <c r="B27" s="12" t="inlineStr">
        <is>
          <t>הפרעות טיקים ותסמונת טורט</t>
        </is>
      </c>
      <c r="C27" s="11" t="inlineStr">
        <is>
          <t>2. Neurodevelopmental</t>
        </is>
      </c>
      <c r="D27" s="11" t="inlineStr">
        <is>
          <t>בינונית</t>
        </is>
      </c>
      <c r="E27" s="11" t="n">
        <v>3</v>
      </c>
      <c r="F27" s="12" t="inlineStr">
        <is>
          <t>Dulcan: פרק 20, עמ' 437-456
DSM-5-TR: Neurodevelopmental, עמ' 35-100
כרטיסיות: עמ' 169-175</t>
        </is>
      </c>
      <c r="G27" s="11" t="inlineStr"/>
    </row>
    <row r="28">
      <c r="A28" s="11" t="n">
        <v>25</v>
      </c>
      <c r="B28" s="12" t="inlineStr">
        <is>
          <t>הפרעות תנועה סטראוטיפיות + Dyspraxia</t>
        </is>
      </c>
      <c r="C28" s="11" t="inlineStr">
        <is>
          <t>2. Neurodevelopmental</t>
        </is>
      </c>
      <c r="D28" s="11" t="inlineStr">
        <is>
          <t>נמוכה</t>
        </is>
      </c>
      <c r="E28" s="11" t="n">
        <v>3</v>
      </c>
      <c r="F28" s="12" t="inlineStr">
        <is>
          <t>Dulcan: פרק 9, עמ' 157-172
DSM-5-TR: Neurodevelopmental, עמ' 35-100
כרטיסיות: עמ' 163-168</t>
        </is>
      </c>
      <c r="G28" s="11" t="inlineStr"/>
    </row>
    <row r="29">
      <c r="A29" s="11" t="n">
        <v>26</v>
      </c>
      <c r="B29" s="12" t="inlineStr">
        <is>
          <t>ID — Down + Fragile X</t>
        </is>
      </c>
      <c r="C29" s="11" t="inlineStr">
        <is>
          <t>2. Neurodevelopmental</t>
        </is>
      </c>
      <c r="D29" s="11" t="inlineStr">
        <is>
          <t>בינונית</t>
        </is>
      </c>
      <c r="E29" s="11" t="n">
        <v>3</v>
      </c>
      <c r="F29" s="12" t="inlineStr">
        <is>
          <t>Dulcan: פרק 7, עמ' 107-134
כרטיסיות: עמ' 287-292</t>
        </is>
      </c>
      <c r="G29" s="11" t="inlineStr"/>
    </row>
    <row r="30">
      <c r="A30" s="11" t="n">
        <v>27</v>
      </c>
      <c r="B30" s="12" t="inlineStr">
        <is>
          <t>הפרעות נוירו-התפתחותיות נוספות</t>
        </is>
      </c>
      <c r="C30" s="11" t="inlineStr">
        <is>
          <t>2. Neurodevelopmental</t>
        </is>
      </c>
      <c r="D30" s="11" t="inlineStr">
        <is>
          <t>בינונית</t>
        </is>
      </c>
      <c r="E30" s="11" t="n">
        <v>3</v>
      </c>
      <c r="F30" s="12" t="inlineStr">
        <is>
          <t>Dulcan: פרק 7+8, עמ' 107-156
כרטיסיות: עמ' 287-292</t>
        </is>
      </c>
      <c r="G30" s="11" t="inlineStr"/>
    </row>
    <row r="31">
      <c r="A31" s="11" t="n">
        <v>28</v>
      </c>
      <c r="B31" s="12" t="inlineStr">
        <is>
          <t>הפרעת דיכאון מז'ורית (MDD)</t>
        </is>
      </c>
      <c r="C31" s="11" t="inlineStr">
        <is>
          <t>3. Mood and Anxiety</t>
        </is>
      </c>
      <c r="D31" s="11" t="inlineStr">
        <is>
          <t>גבוהה</t>
        </is>
      </c>
      <c r="E31" s="11" t="n">
        <v>3</v>
      </c>
      <c r="F31" s="12" t="inlineStr">
        <is>
          <t>Dulcan: פרק 13, עמ' 245-278
DSM-5-TR: Depressive, עמ' 177-214
Stahl Essential: פרק 6+7, עמ' 244-358
כרטיסיות: עמ' 4-15</t>
        </is>
      </c>
      <c r="G31" s="11" t="inlineStr"/>
    </row>
    <row r="32">
      <c r="A32" s="11" t="n">
        <v>29</v>
      </c>
      <c r="B32" s="12" t="inlineStr">
        <is>
          <t>SSRI לעומק</t>
        </is>
      </c>
      <c r="C32" s="11" t="inlineStr">
        <is>
          <t>3. Mood and Anxiety</t>
        </is>
      </c>
      <c r="D32" s="11" t="inlineStr">
        <is>
          <t>גבוהה</t>
        </is>
      </c>
      <c r="E32" s="11" t="n">
        <v>3</v>
      </c>
      <c r="F32" s="12" t="inlineStr">
        <is>
          <t>Dulcan: פרק 35, עמ' 729-762
Stahl Essential: פרק 7, עמ' 283-358
Stahl C&amp;A: citalopram, escitalopram, fluoxetine, fluvoxamine, paroxetine, sertraline (עמ' 111-124, 185-214, 229-242, 381-396, 439-452)
כרטיסיות: עמ' 4-15</t>
        </is>
      </c>
      <c r="G32" s="11" t="inlineStr"/>
    </row>
    <row r="33">
      <c r="A33" s="11" t="n">
        <v>30</v>
      </c>
      <c r="B33" s="12" t="inlineStr">
        <is>
          <t>SNRI + נוגדי דיכאון אטיפיים</t>
        </is>
      </c>
      <c r="C33" s="11" t="inlineStr">
        <is>
          <t>3. Mood and Anxiety</t>
        </is>
      </c>
      <c r="D33" s="11" t="inlineStr">
        <is>
          <t>גבוהה</t>
        </is>
      </c>
      <c r="E33" s="11" t="n">
        <v>3</v>
      </c>
      <c r="F33" s="12" t="inlineStr">
        <is>
          <t>Dulcan: פרק 35, עמ' 729-762
Stahl Essential: פרק 7, עמ' 283-358
Stahl C&amp;A: duloxetine, venlafaxine, bupropion, trazodone (עמ' 83-96, 171-184, 453-464, 479-492)
כרטיסיות: עמ' 4-15</t>
        </is>
      </c>
      <c r="G33" s="11" t="inlineStr"/>
    </row>
    <row r="34">
      <c r="A34" s="11" t="n">
        <v>31</v>
      </c>
      <c r="B34" s="12" t="inlineStr">
        <is>
          <t>TCA + MAOI</t>
        </is>
      </c>
      <c r="C34" s="11" t="inlineStr">
        <is>
          <t>3. Mood and Anxiety</t>
        </is>
      </c>
      <c r="D34" s="11" t="inlineStr">
        <is>
          <t>בינונית</t>
        </is>
      </c>
      <c r="E34" s="11" t="n">
        <v>4</v>
      </c>
      <c r="F34" s="12" t="inlineStr">
        <is>
          <t>Dulcan: פרק 35, עמ' 729-762
Stahl Essential: פרק 7, עמ' 283-358
Stahl C&amp;A: clomipramine (עמ' 125-140)
כרטיסיות: עמ' 4-15</t>
        </is>
      </c>
      <c r="G34" s="11" t="inlineStr"/>
    </row>
    <row r="35">
      <c r="A35" s="11" t="n">
        <v>32</v>
      </c>
      <c r="B35" s="12" t="inlineStr">
        <is>
          <t>PDD + DMDD + PMDD</t>
        </is>
      </c>
      <c r="C35" s="11" t="inlineStr">
        <is>
          <t>3. Mood and Anxiety</t>
        </is>
      </c>
      <c r="D35" s="11" t="inlineStr">
        <is>
          <t>בינונית</t>
        </is>
      </c>
      <c r="E35" s="11" t="n">
        <v>4</v>
      </c>
      <c r="F35" s="12" t="inlineStr">
        <is>
          <t>Dulcan: פרק 13, עמ' 245-278
DSM-5-TR: Depressive, עמ' 177-214
כרטיסיות: עמ' 4-15, 21-22</t>
        </is>
      </c>
      <c r="G35" s="11" t="inlineStr"/>
    </row>
    <row r="36">
      <c r="A36" s="11" t="n">
        <v>33</v>
      </c>
      <c r="B36" s="12" t="inlineStr">
        <is>
          <t>הפרעה דו-קוטבית I</t>
        </is>
      </c>
      <c r="C36" s="11" t="inlineStr">
        <is>
          <t>3. Mood and Anxiety</t>
        </is>
      </c>
      <c r="D36" s="11" t="inlineStr">
        <is>
          <t>גבוהה</t>
        </is>
      </c>
      <c r="E36" s="11" t="n">
        <v>4</v>
      </c>
      <c r="F36" s="12" t="inlineStr">
        <is>
          <t>Dulcan: פרק 14, עמ' 279-308
DSM-5-TR: Bipolar, עמ' 139-176
Stahl Essential: פרק 6+7, עמ' 244-358
כרטיסיות: עמ' 23-34</t>
        </is>
      </c>
      <c r="G36" s="11" t="inlineStr"/>
    </row>
    <row r="37">
      <c r="A37" s="11" t="n">
        <v>34</v>
      </c>
      <c r="B37" s="12" t="inlineStr">
        <is>
          <t>Bipolar II + Cyclothymia + bipolar בילדים</t>
        </is>
      </c>
      <c r="C37" s="11" t="inlineStr">
        <is>
          <t>3. Mood and Anxiety</t>
        </is>
      </c>
      <c r="D37" s="11" t="inlineStr">
        <is>
          <t>בינונית</t>
        </is>
      </c>
      <c r="E37" s="11" t="n">
        <v>4</v>
      </c>
      <c r="F37" s="12" t="inlineStr">
        <is>
          <t>Dulcan: פרק 14, עמ' 279-308
DSM-5-TR: Bipolar, עמ' 139-176
כרטיסיות: עמ' 23-34</t>
        </is>
      </c>
      <c r="G37" s="11" t="inlineStr"/>
    </row>
    <row r="38">
      <c r="A38" s="11" t="n">
        <v>35</v>
      </c>
      <c r="B38" s="12" t="inlineStr">
        <is>
          <t>ליתיום</t>
        </is>
      </c>
      <c r="C38" s="11" t="inlineStr">
        <is>
          <t>3. Mood and Anxiety</t>
        </is>
      </c>
      <c r="D38" s="11" t="inlineStr">
        <is>
          <t>גבוהה</t>
        </is>
      </c>
      <c r="E38" s="11" t="n">
        <v>4</v>
      </c>
      <c r="F38" s="12" t="inlineStr">
        <is>
          <t>Dulcan: פרק 36, עמ' 763-784
Stahl Essential: פרק 7, עמ' 283-358
Stahl C&amp;A: lithium (עמ' 285-298)
כרטיסיות: עמ' 23-34</t>
        </is>
      </c>
      <c r="G38" s="11" t="inlineStr"/>
    </row>
    <row r="39">
      <c r="A39" s="11" t="n">
        <v>36</v>
      </c>
      <c r="B39" s="12" t="inlineStr">
        <is>
          <t>מייצבי מצב רוח: Valproate, Lamotrigine, Carbamazepine</t>
        </is>
      </c>
      <c r="C39" s="11" t="inlineStr">
        <is>
          <t>3. Mood and Anxiety</t>
        </is>
      </c>
      <c r="D39" s="11" t="inlineStr">
        <is>
          <t>גבוהה</t>
        </is>
      </c>
      <c r="E39" s="11" t="n">
        <v>4</v>
      </c>
      <c r="F39" s="12" t="inlineStr">
        <is>
          <t>Dulcan: פרק 36, עמ' 763-784
Stahl Essential: פרק 7, עמ' 283-358
Stahl C&amp;A: valproate (עמ' 465-478)
כרטיסיות: עמ' 23-34</t>
        </is>
      </c>
      <c r="G39" s="11" t="inlineStr"/>
    </row>
    <row r="40">
      <c r="A40" s="11" t="n">
        <v>37</v>
      </c>
      <c r="B40" s="12" t="inlineStr">
        <is>
          <t>ילדים: DMDD מול ביפולר; אובדנות נער</t>
        </is>
      </c>
      <c r="C40" s="11" t="inlineStr">
        <is>
          <t>3. Mood and Anxiety</t>
        </is>
      </c>
      <c r="D40" s="11" t="inlineStr">
        <is>
          <t>גבוהה</t>
        </is>
      </c>
      <c r="E40" s="11" t="n">
        <v>4</v>
      </c>
      <c r="F40" s="12" t="inlineStr">
        <is>
          <t>Dulcan: פרק 13+14+26, עמ' 245-308, 551-564
כרטיסיות: עמ' 16-34</t>
        </is>
      </c>
      <c r="G40" s="11" t="inlineStr"/>
    </row>
    <row r="41">
      <c r="A41" s="11" t="n">
        <v>38</v>
      </c>
      <c r="B41" s="12" t="inlineStr">
        <is>
          <t>הפרעת חרדה מוכללת (GAD)</t>
        </is>
      </c>
      <c r="C41" s="11" t="inlineStr">
        <is>
          <t>3. Mood and Anxiety</t>
        </is>
      </c>
      <c r="D41" s="11" t="inlineStr">
        <is>
          <t>בינונית</t>
        </is>
      </c>
      <c r="E41" s="11" t="n">
        <v>4</v>
      </c>
      <c r="F41" s="12" t="inlineStr">
        <is>
          <t>Dulcan: פרק 15, עמ' 309-344
DSM-5-TR: Anxiety, עמ' 215-262
Stahl Essential: פרק 8, עמ' 359-378
כרטיסיות: עמ' 57</t>
        </is>
      </c>
      <c r="G41" s="11" t="inlineStr"/>
    </row>
    <row r="42">
      <c r="A42" s="11" t="n">
        <v>39</v>
      </c>
      <c r="B42" s="12" t="inlineStr">
        <is>
          <t>הפרעת פאניקה + אגורופוביה</t>
        </is>
      </c>
      <c r="C42" s="11" t="inlineStr">
        <is>
          <t>3. Mood and Anxiety</t>
        </is>
      </c>
      <c r="D42" s="11" t="inlineStr">
        <is>
          <t>בינונית</t>
        </is>
      </c>
      <c r="E42" s="11" t="n">
        <v>4</v>
      </c>
      <c r="F42" s="12" t="inlineStr">
        <is>
          <t>Dulcan: פרק 15, עמ' 309-344
DSM-5-TR: Anxiety, עמ' 215-262
Stahl Essential: פרק 8, עמ' 359-378
כרטיסיות: עמ' 59-60</t>
        </is>
      </c>
      <c r="G42" s="11" t="inlineStr"/>
    </row>
    <row r="43">
      <c r="A43" s="11" t="n">
        <v>40</v>
      </c>
      <c r="B43" s="12" t="inlineStr">
        <is>
          <t>חרדה חברתית + Selective Mutism</t>
        </is>
      </c>
      <c r="C43" s="11" t="inlineStr">
        <is>
          <t>3. Mood and Anxiety</t>
        </is>
      </c>
      <c r="D43" s="11" t="inlineStr">
        <is>
          <t>נמוכה</t>
        </is>
      </c>
      <c r="E43" s="11" t="n">
        <v>4</v>
      </c>
      <c r="F43" s="12" t="inlineStr">
        <is>
          <t>Dulcan: פרק 15, עמ' 309-344
DSM-5-TR: Anxiety, עמ' 215-262
כרטיסיות: עמ' 53, 58</t>
        </is>
      </c>
      <c r="G43" s="11" t="inlineStr"/>
    </row>
    <row r="44">
      <c r="A44" s="11" t="n">
        <v>41</v>
      </c>
      <c r="B44" s="12" t="inlineStr">
        <is>
          <t>חרדת פרידה + פוביה ספציפית</t>
        </is>
      </c>
      <c r="C44" s="11" t="inlineStr">
        <is>
          <t>3. Mood and Anxiety</t>
        </is>
      </c>
      <c r="D44" s="11" t="inlineStr">
        <is>
          <t>נמוכה</t>
        </is>
      </c>
      <c r="E44" s="11" t="n">
        <v>5</v>
      </c>
      <c r="F44" s="12" t="inlineStr">
        <is>
          <t>Dulcan: פרק 15, עמ' 309-344
DSM-5-TR: Anxiety, עמ' 215-262
כרטיסיות: עמ' 54-56</t>
        </is>
      </c>
      <c r="G44" s="11" t="inlineStr"/>
    </row>
    <row r="45">
      <c r="A45" s="11" t="n">
        <v>42</v>
      </c>
      <c r="B45" s="12" t="inlineStr">
        <is>
          <t>BZD + Buspirone + סקירת אנקסיוליטים</t>
        </is>
      </c>
      <c r="C45" s="11" t="inlineStr">
        <is>
          <t>3. Mood and Anxiety</t>
        </is>
      </c>
      <c r="D45" s="11" t="inlineStr">
        <is>
          <t>גבוהה</t>
        </is>
      </c>
      <c r="E45" s="11" t="n">
        <v>5</v>
      </c>
      <c r="F45" s="12" t="inlineStr">
        <is>
          <t>Stahl Essential: פרק 8+10, עמ' 359-378, 401-448
כרטיסיות: עמ' 61-64</t>
        </is>
      </c>
      <c r="G45" s="11" t="inlineStr"/>
    </row>
    <row r="46">
      <c r="A46" s="11" t="n">
        <v>43</v>
      </c>
      <c r="B46" s="12" t="inlineStr">
        <is>
          <t>OCD — ליבה</t>
        </is>
      </c>
      <c r="C46" s="11" t="inlineStr">
        <is>
          <t>4. OCD and Trauma</t>
        </is>
      </c>
      <c r="D46" s="11" t="inlineStr">
        <is>
          <t>גבוהה</t>
        </is>
      </c>
      <c r="E46" s="11" t="n">
        <v>5</v>
      </c>
      <c r="F46" s="12" t="inlineStr">
        <is>
          <t>Dulcan: פרק 17, עמ' 365-388
DSM-5-TR: Obsessive-Compulsive, עמ' 263-294
Stahl Essential: פרק 13, עמ' 538-578
כרטיסיות: עמ' 84-89</t>
        </is>
      </c>
      <c r="G46" s="11" t="inlineStr"/>
    </row>
    <row r="47">
      <c r="A47" s="11" t="n">
        <v>44</v>
      </c>
      <c r="B47" s="12" t="inlineStr">
        <is>
          <t>טיפול ב-OCD: ERP + SSRI מינון גבוה</t>
        </is>
      </c>
      <c r="C47" s="11" t="inlineStr">
        <is>
          <t>4. OCD and Trauma</t>
        </is>
      </c>
      <c r="D47" s="11" t="inlineStr">
        <is>
          <t>בינונית</t>
        </is>
      </c>
      <c r="E47" s="11" t="n">
        <v>5</v>
      </c>
      <c r="F47" s="12" t="inlineStr">
        <is>
          <t>Dulcan: פרק 17+43, עמ' 365-388, 967-984
Stahl Essential: פרק 13, עמ' 538-578
כרטיסיות: עמ' 84-89</t>
        </is>
      </c>
      <c r="G47" s="11" t="inlineStr"/>
    </row>
    <row r="48">
      <c r="A48" s="11" t="n">
        <v>45</v>
      </c>
      <c r="B48" s="12" t="inlineStr">
        <is>
          <t>BDD + Hoarding</t>
        </is>
      </c>
      <c r="C48" s="11" t="inlineStr">
        <is>
          <t>4. OCD and Trauma</t>
        </is>
      </c>
      <c r="D48" s="11" t="inlineStr">
        <is>
          <t>נמוכה</t>
        </is>
      </c>
      <c r="E48" s="11" t="n">
        <v>5</v>
      </c>
      <c r="F48" s="12" t="inlineStr">
        <is>
          <t>Dulcan: פרק 17, עמ' 365-388
DSM-5-TR: Obsessive-Compulsive, עמ' 263-294
כרטיסיות: עמ' 90-91</t>
        </is>
      </c>
      <c r="G48" s="11" t="inlineStr"/>
    </row>
    <row r="49">
      <c r="A49" s="11" t="n">
        <v>46</v>
      </c>
      <c r="B49" s="12" t="inlineStr">
        <is>
          <t>Trichotillomania + Excoriation</t>
        </is>
      </c>
      <c r="C49" s="11" t="inlineStr">
        <is>
          <t>4. OCD and Trauma</t>
        </is>
      </c>
      <c r="D49" s="11" t="inlineStr">
        <is>
          <t>נמוכה</t>
        </is>
      </c>
      <c r="E49" s="11" t="n">
        <v>5</v>
      </c>
      <c r="F49" s="12" t="inlineStr">
        <is>
          <t>Dulcan: פרק 17, עמ' 365-388
DSM-5-TR: Obsessive-Compulsive, עמ' 263-294
כרטיסיות: עמ' 92-94</t>
        </is>
      </c>
      <c r="G49" s="11" t="inlineStr"/>
    </row>
    <row r="50">
      <c r="A50" s="11" t="n">
        <v>47</v>
      </c>
      <c r="B50" s="12" t="inlineStr">
        <is>
          <t>PTSD — ליבה</t>
        </is>
      </c>
      <c r="C50" s="11" t="inlineStr">
        <is>
          <t>4. OCD and Trauma</t>
        </is>
      </c>
      <c r="D50" s="11" t="inlineStr">
        <is>
          <t>גבוהה</t>
        </is>
      </c>
      <c r="E50" s="11" t="n">
        <v>5</v>
      </c>
      <c r="F50" s="12" t="inlineStr">
        <is>
          <t>Dulcan: פרק 16, עמ' 345-364
DSM-5-TR: Trauma, עמ' 295-328
Stahl Essential: פרק 8, עמ' 359-378
כרטיסיות: עמ' 100-108</t>
        </is>
      </c>
      <c r="G50" s="11" t="inlineStr"/>
    </row>
    <row r="51">
      <c r="A51" s="11" t="n">
        <v>48</v>
      </c>
      <c r="B51" s="12" t="inlineStr">
        <is>
          <t>טיפול ב-PTSD: Prazosin, SSRI, TF-CBT, EMDR</t>
        </is>
      </c>
      <c r="C51" s="11" t="inlineStr">
        <is>
          <t>4. OCD and Trauma</t>
        </is>
      </c>
      <c r="D51" s="11" t="inlineStr">
        <is>
          <t>בינונית</t>
        </is>
      </c>
      <c r="E51" s="11" t="n">
        <v>5</v>
      </c>
      <c r="F51" s="12" t="inlineStr">
        <is>
          <t>Dulcan: פרק 16, עמ' 345-364
Stahl Essential: פרק 8, עמ' 359-378
כרטיסיות: עמ' 100-108</t>
        </is>
      </c>
      <c r="G51" s="11" t="inlineStr"/>
    </row>
    <row r="52">
      <c r="A52" s="11" t="n">
        <v>49</v>
      </c>
      <c r="B52" s="12" t="inlineStr">
        <is>
          <t>תגובת לחץ חריפה + הפרעת הסתגלות</t>
        </is>
      </c>
      <c r="C52" s="11" t="inlineStr">
        <is>
          <t>4. OCD and Trauma</t>
        </is>
      </c>
      <c r="D52" s="11" t="inlineStr">
        <is>
          <t>נמוכה</t>
        </is>
      </c>
      <c r="E52" s="11" t="n">
        <v>5</v>
      </c>
      <c r="F52" s="12" t="inlineStr">
        <is>
          <t>Dulcan: פרק 16, עמ' 345-364
DSM-5-TR: Trauma, עמ' 295-328
כרטיסיות: עמ' 95-99</t>
        </is>
      </c>
      <c r="G52" s="11" t="inlineStr"/>
    </row>
    <row r="53">
      <c r="A53" s="11" t="n">
        <v>50</v>
      </c>
      <c r="B53" s="12" t="inlineStr">
        <is>
          <t>אבל, שכול והפרעת אבל ממושך</t>
        </is>
      </c>
      <c r="C53" s="11" t="inlineStr">
        <is>
          <t>4. OCD and Trauma</t>
        </is>
      </c>
      <c r="D53" s="11" t="inlineStr">
        <is>
          <t>בינונית</t>
        </is>
      </c>
      <c r="E53" s="11" t="n">
        <v>5</v>
      </c>
      <c r="F53" s="12" t="inlineStr">
        <is>
          <t>Dulcan: פרק 16, עמ' 345-364
DSM-5-TR: Trauma, עמ' 295-328
כרטיסיות: עמ' 95-96</t>
        </is>
      </c>
      <c r="G53" s="11" t="inlineStr"/>
    </row>
    <row r="54">
      <c r="A54" s="11" t="n">
        <v>51</v>
      </c>
      <c r="B54" s="12" t="inlineStr">
        <is>
          <t>התעללות והזנחה בילדים</t>
        </is>
      </c>
      <c r="C54" s="11" t="inlineStr">
        <is>
          <t>4. OCD and Trauma</t>
        </is>
      </c>
      <c r="D54" s="11" t="inlineStr">
        <is>
          <t>גבוהה</t>
        </is>
      </c>
      <c r="E54" s="11" t="n">
        <v>5</v>
      </c>
      <c r="F54" s="12" t="inlineStr">
        <is>
          <t>Dulcan: פרק 24, עמ' 517-538</t>
        </is>
      </c>
      <c r="G54" s="11" t="inlineStr"/>
    </row>
    <row r="55">
      <c r="A55" s="11" t="n">
        <v>52</v>
      </c>
      <c r="B55" s="12" t="inlineStr">
        <is>
          <t>RAD + DSED</t>
        </is>
      </c>
      <c r="C55" s="11" t="inlineStr">
        <is>
          <t>4. OCD and Trauma</t>
        </is>
      </c>
      <c r="D55" s="11" t="inlineStr">
        <is>
          <t>נמוכה</t>
        </is>
      </c>
      <c r="E55" s="11" t="n">
        <v>6</v>
      </c>
      <c r="F55" s="12" t="inlineStr">
        <is>
          <t>Dulcan: פרק 16, עמ' 345-364
DSM-5-TR: Trauma, עמ' 295-328
כרטיסיות: עמ' 109-110</t>
        </is>
      </c>
      <c r="G55" s="11" t="inlineStr"/>
    </row>
    <row r="56">
      <c r="A56" s="11" t="n">
        <v>53</v>
      </c>
      <c r="B56" s="12" t="inlineStr">
        <is>
          <t>הפרעות דיסוציאטיביות</t>
        </is>
      </c>
      <c r="C56" s="11" t="inlineStr">
        <is>
          <t>4. OCD and Trauma</t>
        </is>
      </c>
      <c r="D56" s="11" t="inlineStr">
        <is>
          <t>נמוכה</t>
        </is>
      </c>
      <c r="E56" s="11" t="n">
        <v>6</v>
      </c>
      <c r="F56" s="12" t="inlineStr">
        <is>
          <t>DSM-5-TR: Dissociative, עמ' 329-348
Synopsis: פרק 11
כרטיסיות: עמ' 217-221</t>
        </is>
      </c>
      <c r="G56" s="11" t="inlineStr"/>
    </row>
    <row r="57">
      <c r="A57" s="11" t="n">
        <v>54</v>
      </c>
      <c r="B57" s="12" t="inlineStr">
        <is>
          <t>הפרעות סומטיות + Conversion + Factitious</t>
        </is>
      </c>
      <c r="C57" s="11" t="inlineStr">
        <is>
          <t>4. OCD and Trauma</t>
        </is>
      </c>
      <c r="D57" s="11" t="inlineStr">
        <is>
          <t>בינונית</t>
        </is>
      </c>
      <c r="E57" s="11" t="n">
        <v>6</v>
      </c>
      <c r="F57" s="12" t="inlineStr">
        <is>
          <t>DSM-5-TR: Somatic Symptom, עמ' 349-370
Synopsis: פרק 12</t>
        </is>
      </c>
      <c r="G57" s="11" t="inlineStr"/>
    </row>
    <row r="58">
      <c r="A58" s="11" t="n">
        <v>55</v>
      </c>
      <c r="B58" s="12" t="inlineStr">
        <is>
          <t>סכיזופרניה — ליבה</t>
        </is>
      </c>
      <c r="C58" s="11" t="inlineStr">
        <is>
          <t>5. Psychosis and Antipsychotics</t>
        </is>
      </c>
      <c r="D58" s="11" t="inlineStr">
        <is>
          <t>גבוהה</t>
        </is>
      </c>
      <c r="E58" s="11" t="n">
        <v>6</v>
      </c>
      <c r="F58" s="12" t="inlineStr">
        <is>
          <t>Dulcan: פרק 18, עמ' 389-410
DSM-5-TR: Schizophrenia Spectrum, עמ' 101-138
Stahl Essential: פרק 4, עמ' 77-158
כרטיסיות: עמ' 65-71</t>
        </is>
      </c>
      <c r="G58" s="11" t="inlineStr"/>
    </row>
    <row r="59">
      <c r="A59" s="11" t="n">
        <v>56</v>
      </c>
      <c r="B59" s="12" t="inlineStr">
        <is>
          <t>ניורוביולוגיה של סכיזופרניה</t>
        </is>
      </c>
      <c r="C59" s="11" t="inlineStr">
        <is>
          <t>5. Psychosis and Antipsychotics</t>
        </is>
      </c>
      <c r="D59" s="11" t="inlineStr">
        <is>
          <t>גבוהה</t>
        </is>
      </c>
      <c r="E59" s="11" t="n">
        <v>6</v>
      </c>
      <c r="F59" s="12" t="inlineStr">
        <is>
          <t>Dulcan: פרק 18, עמ' 389-410
Stahl Essential: פרק 4, עמ' 77-158
כרטיסיות: עמ' 65-71, 283-285</t>
        </is>
      </c>
      <c r="G59" s="11" t="inlineStr"/>
    </row>
    <row r="60">
      <c r="A60" s="11" t="n">
        <v>57</v>
      </c>
      <c r="B60" s="12" t="inlineStr">
        <is>
          <t>Schizoaffective + Schizophreniform + Brief Psychotic + Delusional</t>
        </is>
      </c>
      <c r="C60" s="11" t="inlineStr">
        <is>
          <t>5. Psychosis and Antipsychotics</t>
        </is>
      </c>
      <c r="D60" s="11" t="inlineStr">
        <is>
          <t>בינונית</t>
        </is>
      </c>
      <c r="E60" s="11" t="n">
        <v>6</v>
      </c>
      <c r="F60" s="12" t="inlineStr">
        <is>
          <t>Dulcan: פרק 18, עמ' 389-410
DSM-5-TR: Schizophrenia Spectrum, עמ' 101-138
כרטיסיות: עמ' 72-75</t>
        </is>
      </c>
      <c r="G60" s="11" t="inlineStr"/>
    </row>
    <row r="61">
      <c r="A61" s="11" t="n">
        <v>58</v>
      </c>
      <c r="B61" s="12" t="inlineStr">
        <is>
          <t>אנטיפסיכוטיים דור ראשון (FGA)</t>
        </is>
      </c>
      <c r="C61" s="11" t="inlineStr">
        <is>
          <t>5. Psychosis and Antipsychotics</t>
        </is>
      </c>
      <c r="D61" s="11" t="inlineStr">
        <is>
          <t>גבוהה</t>
        </is>
      </c>
      <c r="E61" s="11" t="n">
        <v>6</v>
      </c>
      <c r="F61" s="12" t="inlineStr">
        <is>
          <t>Dulcan: פרק 37, עמ' 785-846
Stahl Essential: פרק 5, עמ' 159-243
Stahl C&amp;A: chlorpromazine, fluphenazine, haloperidol, pimozide (עמ' 97-110, 215-228, 255-268, 397-408)
כרטיסיות: עמ' 76-83</t>
        </is>
      </c>
      <c r="G61" s="11" t="inlineStr"/>
    </row>
    <row r="62">
      <c r="A62" s="11" t="n">
        <v>59</v>
      </c>
      <c r="B62" s="12" t="inlineStr">
        <is>
          <t>אנטיפסיכוטיים דור שני (SGA)</t>
        </is>
      </c>
      <c r="C62" s="11" t="inlineStr">
        <is>
          <t>5. Psychosis and Antipsychotics</t>
        </is>
      </c>
      <c r="D62" s="11" t="inlineStr">
        <is>
          <t>גבוהה</t>
        </is>
      </c>
      <c r="E62" s="11" t="n">
        <v>6</v>
      </c>
      <c r="F62" s="12" t="inlineStr">
        <is>
          <t>Dulcan: פרק 37, עמ' 785-846
Stahl Essential: פרק 5, עמ' 159-243
Stahl C&amp;A: aripiprazole, asenapine, clozapine, lurasidone, olanzapine, paliperidone, quetiapine, risperidone (עמ' 37-68, 155-170, 299-312, 351-380, 409-438)
כרטיסיות: עמ' 76-83</t>
        </is>
      </c>
      <c r="G62" s="11" t="inlineStr"/>
    </row>
    <row r="63">
      <c r="A63" s="11" t="n">
        <v>60</v>
      </c>
      <c r="B63" s="12" t="inlineStr">
        <is>
          <t>Clozapine — קלוזפין לעמיד לטיפול</t>
        </is>
      </c>
      <c r="C63" s="11" t="inlineStr">
        <is>
          <t>5. Psychosis and Antipsychotics</t>
        </is>
      </c>
      <c r="D63" s="11" t="inlineStr">
        <is>
          <t>גבוהה</t>
        </is>
      </c>
      <c r="E63" s="11" t="n">
        <v>6</v>
      </c>
      <c r="F63" s="12" t="inlineStr">
        <is>
          <t>Dulcan: פרק 37, עמ' 785-846
Stahl Essential: פרק 5, עמ' 159-243
Stahl C&amp;A: clozapine (עמ' 155-170)
כרטיסיות: עמ' 76-83</t>
        </is>
      </c>
      <c r="G63" s="11" t="inlineStr"/>
    </row>
    <row r="64">
      <c r="A64" s="11" t="n">
        <v>61</v>
      </c>
      <c r="B64" s="12" t="inlineStr">
        <is>
          <t>אגוניסטים חלקיים: Aripiprazole, Brexpiprazole, Cariprazine</t>
        </is>
      </c>
      <c r="C64" s="11" t="inlineStr">
        <is>
          <t>5. Psychosis and Antipsychotics</t>
        </is>
      </c>
      <c r="D64" s="11" t="inlineStr">
        <is>
          <t>בינונית</t>
        </is>
      </c>
      <c r="E64" s="11" t="n">
        <v>6</v>
      </c>
      <c r="F64" s="12" t="inlineStr">
        <is>
          <t>Dulcan: פרק 37, עמ' 785-846
Stahl Essential: פרק 5, עמ' 159-243
Stahl C&amp;A: aripiprazole (עמ' 37-54)
כרטיסיות: עמ' 76-83</t>
        </is>
      </c>
      <c r="G64" s="11" t="inlineStr"/>
    </row>
    <row r="65">
      <c r="A65" s="11" t="n">
        <v>62</v>
      </c>
      <c r="B65" s="12" t="inlineStr">
        <is>
          <t>SGA מטבוליים: Olanzapine, Quetiapine, Risperidone</t>
        </is>
      </c>
      <c r="C65" s="11" t="inlineStr">
        <is>
          <t>5. Psychosis and Antipsychotics</t>
        </is>
      </c>
      <c r="D65" s="11" t="inlineStr">
        <is>
          <t>בינונית</t>
        </is>
      </c>
      <c r="E65" s="11" t="n">
        <v>7</v>
      </c>
      <c r="F65" s="12" t="inlineStr">
        <is>
          <t>Dulcan: פרק 37, עמ' 785-846
Stahl Essential: פרק 5, עמ' 159-243
Stahl C&amp;A: olanzapine, quetiapine, risperidone (עמ' 351-366, 409-438)
כרטיסיות: עמ' 76-83</t>
        </is>
      </c>
      <c r="G65" s="11" t="inlineStr"/>
    </row>
    <row r="66">
      <c r="A66" s="11" t="n">
        <v>63</v>
      </c>
      <c r="B66" s="12" t="inlineStr">
        <is>
          <t>SGA לא-מטבוליים: Lurasidone, Ziprasidone, Lumateperone</t>
        </is>
      </c>
      <c r="C66" s="11" t="inlineStr">
        <is>
          <t>5. Psychosis and Antipsychotics</t>
        </is>
      </c>
      <c r="D66" s="11" t="inlineStr">
        <is>
          <t>בינונית</t>
        </is>
      </c>
      <c r="E66" s="11" t="n">
        <v>7</v>
      </c>
      <c r="F66" s="12" t="inlineStr">
        <is>
          <t>Dulcan: פרק 37, עמ' 785-846
Stahl Essential: פרק 5, עמ' 159-243
Stahl C&amp;A: lurasidone (עמ' 299-312)
כרטיסיות: עמ' 76-83</t>
        </is>
      </c>
      <c r="G66" s="11" t="inlineStr"/>
    </row>
    <row r="67">
      <c r="A67" s="11" t="n">
        <v>64</v>
      </c>
      <c r="B67" s="12" t="inlineStr">
        <is>
          <t>זריקות אנטיפסיכוטיות ארוכות-טווח (LAI)</t>
        </is>
      </c>
      <c r="C67" s="11" t="inlineStr">
        <is>
          <t>5. Psychosis and Antipsychotics</t>
        </is>
      </c>
      <c r="D67" s="11" t="inlineStr">
        <is>
          <t>בינונית</t>
        </is>
      </c>
      <c r="E67" s="11" t="n">
        <v>7</v>
      </c>
      <c r="F67" s="12" t="inlineStr">
        <is>
          <t>Dulcan: פרק 37, עמ' 785-846
Stahl Essential: פרק 5, עמ' 159-243
Stahl C&amp;A: paliperidone, risperidone (עמ' 367-380, 423-438)
כרטיסיות: עמ' 76-83</t>
        </is>
      </c>
      <c r="G67" s="11" t="inlineStr"/>
    </row>
    <row r="68">
      <c r="A68" s="11" t="n">
        <v>65</v>
      </c>
      <c r="B68" s="12" t="inlineStr">
        <is>
          <t>EPS: דיסטוניה, אקתיזיה, פרקינסוניזם</t>
        </is>
      </c>
      <c r="C68" s="11" t="inlineStr">
        <is>
          <t>5. Psychosis and Antipsychotics</t>
        </is>
      </c>
      <c r="D68" s="11" t="inlineStr">
        <is>
          <t>גבוהה</t>
        </is>
      </c>
      <c r="E68" s="11" t="n">
        <v>7</v>
      </c>
      <c r="F68" s="12" t="inlineStr">
        <is>
          <t>Dulcan: פרק 37, עמ' 785-846
DSM-5-TR: Medication-Induced Movement, עמ' 807-820
Stahl Essential: פרק 5, עמ' 159-243
כרטיסיות: עמ' 76-83</t>
        </is>
      </c>
      <c r="G68" s="11" t="inlineStr"/>
    </row>
    <row r="69">
      <c r="A69" s="11" t="n">
        <v>66</v>
      </c>
      <c r="B69" s="12" t="inlineStr">
        <is>
          <t>Tardive Dyskinesia + מעכבי VMAT2</t>
        </is>
      </c>
      <c r="C69" s="11" t="inlineStr">
        <is>
          <t>5. Psychosis and Antipsychotics</t>
        </is>
      </c>
      <c r="D69" s="11" t="inlineStr">
        <is>
          <t>בינונית</t>
        </is>
      </c>
      <c r="E69" s="11" t="n">
        <v>7</v>
      </c>
      <c r="F69" s="12" t="inlineStr">
        <is>
          <t>Dulcan: פרק 37, עמ' 785-846
DSM-5-TR: Medication-Induced Movement, עמ' 807-820
כרטיסיות: עמ' 76-83</t>
        </is>
      </c>
      <c r="G69" s="11" t="inlineStr"/>
    </row>
    <row r="70">
      <c r="A70" s="11" t="n">
        <v>67</v>
      </c>
      <c r="B70" s="12" t="inlineStr">
        <is>
          <t>NMS — תסמונת ממאירה ניורולפטית</t>
        </is>
      </c>
      <c r="C70" s="11" t="inlineStr">
        <is>
          <t>5. Psychosis and Antipsychotics</t>
        </is>
      </c>
      <c r="D70" s="11" t="inlineStr">
        <is>
          <t>גבוהה</t>
        </is>
      </c>
      <c r="E70" s="11" t="n">
        <v>7</v>
      </c>
      <c r="F70" s="12" t="inlineStr">
        <is>
          <t>Dulcan: פרק 37+29, עמ' 605-620, 785-846
DSM-5-TR: Medication-Induced Movement, עמ' 807-820
כרטיסיות: עמ' 76-83</t>
        </is>
      </c>
      <c r="G70" s="11" t="inlineStr"/>
    </row>
    <row r="71">
      <c r="A71" s="11" t="n">
        <v>68</v>
      </c>
      <c r="B71" s="12" t="inlineStr">
        <is>
          <t>קטטוניה</t>
        </is>
      </c>
      <c r="C71" s="11" t="inlineStr">
        <is>
          <t>5. Psychosis and Antipsychotics</t>
        </is>
      </c>
      <c r="D71" s="11" t="inlineStr">
        <is>
          <t>בינונית</t>
        </is>
      </c>
      <c r="E71" s="11" t="n">
        <v>7</v>
      </c>
      <c r="F71" s="12" t="inlineStr">
        <is>
          <t>DSM-5-TR: Schizophrenia Spectrum, עמ' 101-138
כרטיסיות: עמ' 75</t>
        </is>
      </c>
      <c r="G71" s="11" t="inlineStr"/>
    </row>
    <row r="72">
      <c r="A72" s="11" t="n">
        <v>69</v>
      </c>
      <c r="B72" s="12" t="inlineStr">
        <is>
          <t>ניהול פסיכוזה חריפה במיון</t>
        </is>
      </c>
      <c r="C72" s="11" t="inlineStr">
        <is>
          <t>5. Psychosis and Antipsychotics</t>
        </is>
      </c>
      <c r="D72" s="11" t="inlineStr">
        <is>
          <t>בינונית</t>
        </is>
      </c>
      <c r="E72" s="11" t="n">
        <v>7</v>
      </c>
      <c r="F72" s="12" t="inlineStr">
        <is>
          <t>Dulcan: פרק 29, עמ' 605-620
כרטיסיות: עמ' 65-71</t>
        </is>
      </c>
      <c r="G72" s="11" t="inlineStr"/>
    </row>
    <row r="73">
      <c r="A73" s="11" t="n">
        <v>70</v>
      </c>
      <c r="B73" s="12" t="inlineStr">
        <is>
          <t>ECT וטיפולים סומטיים אחרים</t>
        </is>
      </c>
      <c r="C73" s="11" t="inlineStr">
        <is>
          <t>5. Psychosis and Antipsychotics</t>
        </is>
      </c>
      <c r="D73" s="11" t="inlineStr">
        <is>
          <t>בינונית</t>
        </is>
      </c>
      <c r="E73" s="11" t="n">
        <v>7</v>
      </c>
      <c r="F73" s="12" t="inlineStr">
        <is>
          <t>Synopsis: פרק 22
כרטיסיות: עמ' 35-36
ℹ ECT — Synopsis פרק 22; אין פרק ייעודי ב-Dulcan</t>
        </is>
      </c>
      <c r="G73" s="11" t="inlineStr"/>
    </row>
    <row r="74">
      <c r="A74" s="11" t="n">
        <v>71</v>
      </c>
      <c r="B74" s="12" t="inlineStr">
        <is>
          <t>נדודי שינה + CBT-I</t>
        </is>
      </c>
      <c r="C74" s="11" t="inlineStr">
        <is>
          <t>6. Sleep, Eating, Elimination</t>
        </is>
      </c>
      <c r="D74" s="11" t="inlineStr">
        <is>
          <t>בינונית</t>
        </is>
      </c>
      <c r="E74" s="11" t="n">
        <v>8</v>
      </c>
      <c r="F74" s="12" t="inlineStr">
        <is>
          <t>Dulcan: פרק 22, עמ' 473-502
DSM-5-TR: Sleep-Wake, עמ' 407-476
Stahl Essential: פרק 10, עמ' 401-448
כרטיסיות: עמ' 208-216</t>
        </is>
      </c>
      <c r="G74" s="11" t="inlineStr"/>
    </row>
    <row r="75">
      <c r="A75" s="11" t="n">
        <v>72</v>
      </c>
      <c r="B75" s="12" t="inlineStr">
        <is>
          <t>תרופות שינה</t>
        </is>
      </c>
      <c r="C75" s="11" t="inlineStr">
        <is>
          <t>6. Sleep, Eating, Elimination</t>
        </is>
      </c>
      <c r="D75" s="11" t="inlineStr">
        <is>
          <t>בינונית</t>
        </is>
      </c>
      <c r="E75" s="11" t="n">
        <v>8</v>
      </c>
      <c r="F75" s="12" t="inlineStr">
        <is>
          <t>Dulcan: פרק 22, עמ' 473-502
Stahl Essential: פרק 10, עמ' 401-448
כרטיסיות: עמ' 208-216</t>
        </is>
      </c>
      <c r="G75" s="11" t="inlineStr"/>
    </row>
    <row r="76">
      <c r="A76" s="11" t="n">
        <v>73</v>
      </c>
      <c r="B76" s="12" t="inlineStr">
        <is>
          <t>נרקולפסיה + Pitolisant</t>
        </is>
      </c>
      <c r="C76" s="11" t="inlineStr">
        <is>
          <t>6. Sleep, Eating, Elimination</t>
        </is>
      </c>
      <c r="D76" s="11" t="inlineStr">
        <is>
          <t>נמוכה</t>
        </is>
      </c>
      <c r="E76" s="11" t="n">
        <v>8</v>
      </c>
      <c r="F76" s="12" t="inlineStr">
        <is>
          <t>Dulcan: פרק 22, עמ' 473-502
DSM-5-TR: Sleep-Wake, עמ' 407-476
Stahl Essential: פרק 10, עמ' 401-448
כרטיסיות: עמ' 208-216</t>
        </is>
      </c>
      <c r="G76" s="11" t="inlineStr"/>
    </row>
    <row r="77">
      <c r="A77" s="11" t="n">
        <v>74</v>
      </c>
      <c r="B77" s="12" t="inlineStr">
        <is>
          <t>פרסומניות + תסמונת רגליים חסרות מנוחה</t>
        </is>
      </c>
      <c r="C77" s="11" t="inlineStr">
        <is>
          <t>6. Sleep, Eating, Elimination</t>
        </is>
      </c>
      <c r="D77" s="11" t="inlineStr">
        <is>
          <t>נמוכה</t>
        </is>
      </c>
      <c r="E77" s="11" t="n">
        <v>8</v>
      </c>
      <c r="F77" s="12" t="inlineStr">
        <is>
          <t>Dulcan: פרק 22, עמ' 473-502
DSM-5-TR: Sleep-Wake, עמ' 407-476
כרטיסיות: עמ' 208-216</t>
        </is>
      </c>
      <c r="G77" s="11" t="inlineStr"/>
    </row>
    <row r="78">
      <c r="A78" s="11" t="n">
        <v>75</v>
      </c>
      <c r="B78" s="12" t="inlineStr">
        <is>
          <t>Anorexia Nervosa</t>
        </is>
      </c>
      <c r="C78" s="11" t="inlineStr">
        <is>
          <t>6. Sleep, Eating, Elimination</t>
        </is>
      </c>
      <c r="D78" s="11" t="inlineStr">
        <is>
          <t>גבוהה</t>
        </is>
      </c>
      <c r="E78" s="11" t="n">
        <v>8</v>
      </c>
      <c r="F78" s="12" t="inlineStr">
        <is>
          <t>Dulcan: פרק 19, עמ' 411-436
DSM-5-TR: Feeding and Eating, עמ' 371-398
כרטיסיות: עמ' 111-132</t>
        </is>
      </c>
      <c r="G78" s="11" t="inlineStr"/>
    </row>
    <row r="79">
      <c r="A79" s="11" t="n">
        <v>76</v>
      </c>
      <c r="B79" s="12" t="inlineStr">
        <is>
          <t>Bulimia Nervosa + Binge Eating Disorder</t>
        </is>
      </c>
      <c r="C79" s="11" t="inlineStr">
        <is>
          <t>6. Sleep, Eating, Elimination</t>
        </is>
      </c>
      <c r="D79" s="11" t="inlineStr">
        <is>
          <t>בינונית</t>
        </is>
      </c>
      <c r="E79" s="11" t="n">
        <v>8</v>
      </c>
      <c r="F79" s="12" t="inlineStr">
        <is>
          <t>Dulcan: פרק 19, עמ' 411-436
DSM-5-TR: Feeding and Eating, עמ' 371-398
כרטיסיות: עמ' 111-132</t>
        </is>
      </c>
      <c r="G79" s="11" t="inlineStr"/>
    </row>
    <row r="80">
      <c r="A80" s="11" t="n">
        <v>77</v>
      </c>
      <c r="B80" s="12" t="inlineStr">
        <is>
          <t>ARFID + Pica + Rumination</t>
        </is>
      </c>
      <c r="C80" s="11" t="inlineStr">
        <is>
          <t>6. Sleep, Eating, Elimination</t>
        </is>
      </c>
      <c r="D80" s="11" t="inlineStr">
        <is>
          <t>נמוכה</t>
        </is>
      </c>
      <c r="E80" s="11" t="n">
        <v>8</v>
      </c>
      <c r="F80" s="12" t="inlineStr">
        <is>
          <t>Dulcan: פרק 19, עמ' 411-436
DSM-5-TR: Feeding and Eating, עמ' 371-398
כרטיסיות: עמ' 111-132</t>
        </is>
      </c>
      <c r="G80" s="11" t="inlineStr"/>
    </row>
    <row r="81">
      <c r="A81" s="11" t="n">
        <v>78</v>
      </c>
      <c r="B81" s="12" t="inlineStr">
        <is>
          <t>Enuresis + Encopresis</t>
        </is>
      </c>
      <c r="C81" s="11" t="inlineStr">
        <is>
          <t>6. Sleep, Eating, Elimination</t>
        </is>
      </c>
      <c r="D81" s="11" t="inlineStr">
        <is>
          <t>נמוכה</t>
        </is>
      </c>
      <c r="E81" s="11" t="n">
        <v>8</v>
      </c>
      <c r="F81" s="12" t="inlineStr">
        <is>
          <t>Dulcan: פרק 21, עמ' 457-472
DSM-5-TR: Elimination, עמ' 399-406
כרטיסיות: עמ' 181-188</t>
        </is>
      </c>
      <c r="G81" s="11" t="inlineStr"/>
    </row>
    <row r="82">
      <c r="A82" s="11" t="n">
        <v>79</v>
      </c>
      <c r="B82" s="12" t="inlineStr">
        <is>
          <t>התפתחות שינה בילדים + תזוזת מתבגרים</t>
        </is>
      </c>
      <c r="C82" s="11" t="inlineStr">
        <is>
          <t>6. Sleep, Eating, Elimination</t>
        </is>
      </c>
      <c r="D82" s="11" t="inlineStr">
        <is>
          <t>בינונית</t>
        </is>
      </c>
      <c r="E82" s="11" t="n">
        <v>8</v>
      </c>
      <c r="F82" s="12" t="inlineStr">
        <is>
          <t>Dulcan: פרק 22, עמ' 473-502
כרטיסיות: עמ' 208-216</t>
        </is>
      </c>
      <c r="G82" s="11" t="inlineStr"/>
    </row>
    <row r="83">
      <c r="A83" s="11" t="n">
        <v>80</v>
      </c>
      <c r="B83" s="12" t="inlineStr">
        <is>
          <t>הפרעות אכילה: FBT + ייצוב רפואי</t>
        </is>
      </c>
      <c r="C83" s="11" t="inlineStr">
        <is>
          <t>6. Sleep, Eating, Elimination</t>
        </is>
      </c>
      <c r="D83" s="11" t="inlineStr">
        <is>
          <t>בינונית</t>
        </is>
      </c>
      <c r="E83" s="11" t="n">
        <v>8</v>
      </c>
      <c r="F83" s="12" t="inlineStr">
        <is>
          <t>Dulcan: פרק 19+41, עמ' 411-436, 933-954
כרטיסיות: עמ' 111-132</t>
        </is>
      </c>
      <c r="G83" s="11" t="inlineStr"/>
    </row>
    <row r="84">
      <c r="A84" s="11" t="n">
        <v>81</v>
      </c>
      <c r="B84" s="12" t="inlineStr">
        <is>
          <t>הפרעת שימוש באלכוהול + גמילה</t>
        </is>
      </c>
      <c r="C84" s="11" t="inlineStr">
        <is>
          <t>7. Substance Use</t>
        </is>
      </c>
      <c r="D84" s="11" t="inlineStr">
        <is>
          <t>גבוהה</t>
        </is>
      </c>
      <c r="E84" s="11" t="n">
        <v>9</v>
      </c>
      <c r="F84" s="12" t="inlineStr">
        <is>
          <t>Dulcan: פרק 12, עמ' 221-244
DSM-5-TR: Substance, עמ' 543-666
כרטיסיות: עמ' 192-202</t>
        </is>
      </c>
      <c r="G84" s="11" t="inlineStr"/>
    </row>
    <row r="85">
      <c r="A85" s="11" t="n">
        <v>82</v>
      </c>
      <c r="B85" s="12" t="inlineStr">
        <is>
          <t>טיפול ב-AUD: Naltrexone, Acamprosate, Disulfiram</t>
        </is>
      </c>
      <c r="C85" s="11" t="inlineStr">
        <is>
          <t>7. Substance Use</t>
        </is>
      </c>
      <c r="D85" s="11" t="inlineStr">
        <is>
          <t>בינונית</t>
        </is>
      </c>
      <c r="E85" s="11" t="n">
        <v>9</v>
      </c>
      <c r="F85" s="12" t="inlineStr">
        <is>
          <t>Dulcan: פרק 12, עמ' 221-244
Stahl Essential: פרק 13, עמ' 538-578
כרטיסיות: עמ' 192-202</t>
        </is>
      </c>
      <c r="G85" s="11" t="inlineStr"/>
    </row>
    <row r="86">
      <c r="A86" s="11" t="n">
        <v>83</v>
      </c>
      <c r="B86" s="12" t="inlineStr">
        <is>
          <t>OUD + גמילה</t>
        </is>
      </c>
      <c r="C86" s="11" t="inlineStr">
        <is>
          <t>7. Substance Use</t>
        </is>
      </c>
      <c r="D86" s="11" t="inlineStr">
        <is>
          <t>בינונית</t>
        </is>
      </c>
      <c r="E86" s="11" t="n">
        <v>9</v>
      </c>
      <c r="F86" s="12" t="inlineStr">
        <is>
          <t>Dulcan: פרק 12, עמ' 221-244
DSM-5-TR: Substance, עמ' 543-666
כרטיסיות: עמ' 192-202</t>
        </is>
      </c>
      <c r="G86" s="11" t="inlineStr"/>
    </row>
    <row r="87">
      <c r="A87" s="11" t="n">
        <v>84</v>
      </c>
      <c r="B87" s="12" t="inlineStr">
        <is>
          <t>טיפול ב-OUD: Methadone, Buprenorphine, Naltrexone, Naloxone</t>
        </is>
      </c>
      <c r="C87" s="11" t="inlineStr">
        <is>
          <t>7. Substance Use</t>
        </is>
      </c>
      <c r="D87" s="11" t="inlineStr">
        <is>
          <t>גבוהה</t>
        </is>
      </c>
      <c r="E87" s="11" t="n">
        <v>9</v>
      </c>
      <c r="F87" s="12" t="inlineStr">
        <is>
          <t>Dulcan: פרק 12, עמ' 221-244
Stahl Essential: פרק 13, עמ' 538-578
כרטיסיות: עמ' 192-202</t>
        </is>
      </c>
      <c r="G87" s="11" t="inlineStr"/>
    </row>
    <row r="88">
      <c r="A88" s="11" t="n">
        <v>85</v>
      </c>
      <c r="B88" s="12" t="inlineStr">
        <is>
          <t>הפרעת שימוש בסטימולנטים</t>
        </is>
      </c>
      <c r="C88" s="11" t="inlineStr">
        <is>
          <t>7. Substance Use</t>
        </is>
      </c>
      <c r="D88" s="11" t="inlineStr">
        <is>
          <t>בינונית</t>
        </is>
      </c>
      <c r="E88" s="11" t="n">
        <v>9</v>
      </c>
      <c r="F88" s="12" t="inlineStr">
        <is>
          <t>Dulcan: פרק 12, עמ' 221-244
DSM-5-TR: Substance, עמ' 543-666
Stahl Essential: פרק 13, עמ' 538-578
כרטיסיות: עמ' 192-202</t>
        </is>
      </c>
      <c r="G88" s="11" t="inlineStr"/>
    </row>
    <row r="89">
      <c r="A89" s="11" t="n">
        <v>86</v>
      </c>
      <c r="B89" s="12" t="inlineStr">
        <is>
          <t>הפרעת שימוש בקנאביס</t>
        </is>
      </c>
      <c r="C89" s="11" t="inlineStr">
        <is>
          <t>7. Substance Use</t>
        </is>
      </c>
      <c r="D89" s="11" t="inlineStr">
        <is>
          <t>בינונית</t>
        </is>
      </c>
      <c r="E89" s="11" t="n">
        <v>9</v>
      </c>
      <c r="F89" s="12" t="inlineStr">
        <is>
          <t>Dulcan: פרק 12, עמ' 221-244
DSM-5-TR: Substance, עמ' 543-666
כרטיסיות: עמ' 192-202</t>
        </is>
      </c>
      <c r="G89" s="11" t="inlineStr"/>
    </row>
    <row r="90">
      <c r="A90" s="11" t="n">
        <v>87</v>
      </c>
      <c r="B90" s="12" t="inlineStr">
        <is>
          <t>גמילה מעישון: Varenicline, NRT, Bupropion</t>
        </is>
      </c>
      <c r="C90" s="11" t="inlineStr">
        <is>
          <t>7. Substance Use</t>
        </is>
      </c>
      <c r="D90" s="11" t="inlineStr">
        <is>
          <t>נמוכה</t>
        </is>
      </c>
      <c r="E90" s="11" t="n">
        <v>9</v>
      </c>
      <c r="F90" s="12" t="inlineStr">
        <is>
          <t>Dulcan: פרק 12, עמ' 221-244
Stahl C&amp;A: bupropion (עמ' 83-96)
כרטיסיות: עמ' 192-202</t>
        </is>
      </c>
      <c r="G90" s="11" t="inlineStr"/>
    </row>
    <row r="91">
      <c r="A91" s="11" t="n">
        <v>88</v>
      </c>
      <c r="B91" s="12" t="inlineStr">
        <is>
          <t>הפרעת שימוש בסדאטיביים/היפנוטיים/אנקסיוליטיים</t>
        </is>
      </c>
      <c r="C91" s="11" t="inlineStr">
        <is>
          <t>7. Substance Use</t>
        </is>
      </c>
      <c r="D91" s="11" t="inlineStr">
        <is>
          <t>בינונית</t>
        </is>
      </c>
      <c r="E91" s="11" t="n">
        <v>9</v>
      </c>
      <c r="F91" s="12" t="inlineStr">
        <is>
          <t>Dulcan: פרק 12, עמ' 221-244
DSM-5-TR: Substance, עמ' 543-666
כרטיסיות: עמ' 192-202</t>
        </is>
      </c>
      <c r="G91" s="11" t="inlineStr"/>
    </row>
    <row r="92">
      <c r="A92" s="11" t="n">
        <v>89</v>
      </c>
      <c r="B92" s="12" t="inlineStr">
        <is>
          <t>הלוצינוגנים + קפאין + שאיפות</t>
        </is>
      </c>
      <c r="C92" s="11" t="inlineStr">
        <is>
          <t>7. Substance Use</t>
        </is>
      </c>
      <c r="D92" s="11" t="inlineStr">
        <is>
          <t>בינונית</t>
        </is>
      </c>
      <c r="E92" s="11" t="n">
        <v>9</v>
      </c>
      <c r="F92" s="12" t="inlineStr">
        <is>
          <t>Dulcan: פרק 12, עמ' 221-244
DSM-5-TR: Substance, עמ' 543-666
כרטיסיות: עמ' 192-202</t>
        </is>
      </c>
      <c r="G92" s="11" t="inlineStr"/>
    </row>
    <row r="93">
      <c r="A93" s="11" t="n">
        <v>90</v>
      </c>
      <c r="B93" s="12" t="inlineStr">
        <is>
          <t>התמכרות התנהגותית: הימורים</t>
        </is>
      </c>
      <c r="C93" s="11" t="inlineStr">
        <is>
          <t>7. Substance Use</t>
        </is>
      </c>
      <c r="D93" s="11" t="inlineStr">
        <is>
          <t>נמוכה</t>
        </is>
      </c>
      <c r="E93" s="11" t="n">
        <v>9</v>
      </c>
      <c r="F93" s="12" t="inlineStr">
        <is>
          <t>Dulcan: פרק 12, עמ' 221-244
DSM-5-TR: Substance, עמ' 543-666
Stahl Essential: פרק 13, עמ' 538-578
כרטיסיות: עמ' 192-202</t>
        </is>
      </c>
      <c r="G93" s="11" t="inlineStr"/>
    </row>
    <row r="94">
      <c r="A94" s="11" t="n">
        <v>91</v>
      </c>
      <c r="B94" s="12" t="inlineStr">
        <is>
          <t>הפרעת אישיות פרנואידית</t>
        </is>
      </c>
      <c r="C94" s="11" t="inlineStr">
        <is>
          <t>8. Personality + Special Populations</t>
        </is>
      </c>
      <c r="D94" s="11" t="inlineStr">
        <is>
          <t>בינונית</t>
        </is>
      </c>
      <c r="E94" s="11" t="n">
        <v>10</v>
      </c>
      <c r="F94" s="12" t="inlineStr">
        <is>
          <t>DSM-5-TR: Personality Disorders, עמ' 733-778
Synopsis: פרק 19</t>
        </is>
      </c>
      <c r="G94" s="11" t="inlineStr"/>
    </row>
    <row r="95">
      <c r="A95" s="11" t="n">
        <v>92</v>
      </c>
      <c r="B95" s="12" t="inlineStr">
        <is>
          <t>הפרעת אישיות סכיזואידית</t>
        </is>
      </c>
      <c r="C95" s="11" t="inlineStr">
        <is>
          <t>8. Personality + Special Populations</t>
        </is>
      </c>
      <c r="D95" s="11" t="inlineStr">
        <is>
          <t>בינונית</t>
        </is>
      </c>
      <c r="E95" s="11" t="n">
        <v>10</v>
      </c>
      <c r="F95" s="12" t="inlineStr">
        <is>
          <t>DSM-5-TR: Personality Disorders, עמ' 733-778
Synopsis: פרק 19</t>
        </is>
      </c>
      <c r="G95" s="11" t="inlineStr"/>
    </row>
    <row r="96">
      <c r="A96" s="11" t="n">
        <v>93</v>
      </c>
      <c r="B96" s="12" t="inlineStr">
        <is>
          <t>הפרעת אישיות סכיזוטיפלית</t>
        </is>
      </c>
      <c r="C96" s="11" t="inlineStr">
        <is>
          <t>8. Personality + Special Populations</t>
        </is>
      </c>
      <c r="D96" s="11" t="inlineStr">
        <is>
          <t>בינונית</t>
        </is>
      </c>
      <c r="E96" s="11" t="n">
        <v>10</v>
      </c>
      <c r="F96" s="12" t="inlineStr">
        <is>
          <t>DSM-5-TR: Personality Disorders, עמ' 733-778
Synopsis: פרק 19</t>
        </is>
      </c>
      <c r="G96" s="11" t="inlineStr"/>
    </row>
    <row r="97">
      <c r="A97" s="11" t="n">
        <v>94</v>
      </c>
      <c r="B97" s="12" t="inlineStr">
        <is>
          <t>BPD — Borderline Personality Disorder</t>
        </is>
      </c>
      <c r="C97" s="11" t="inlineStr">
        <is>
          <t>8. Personality + Special Populations</t>
        </is>
      </c>
      <c r="D97" s="11" t="inlineStr">
        <is>
          <t>גבוהה</t>
        </is>
      </c>
      <c r="E97" s="11" t="n">
        <v>10</v>
      </c>
      <c r="F97" s="12" t="inlineStr">
        <is>
          <t>DSM-5-TR: Personality Disorders, עמ' 733-778
Synopsis: פרק 19
כרטיסיות: עמ' 203-207</t>
        </is>
      </c>
      <c r="G97" s="11" t="inlineStr"/>
    </row>
    <row r="98">
      <c r="A98" s="11" t="n">
        <v>95</v>
      </c>
      <c r="B98" s="12" t="inlineStr">
        <is>
          <t>טיפול ב-BPD: DBT</t>
        </is>
      </c>
      <c r="C98" s="11" t="inlineStr">
        <is>
          <t>8. Personality + Special Populations</t>
        </is>
      </c>
      <c r="D98" s="11" t="inlineStr">
        <is>
          <t>בינונית</t>
        </is>
      </c>
      <c r="E98" s="11" t="n">
        <v>10</v>
      </c>
      <c r="F98" s="12" t="inlineStr">
        <is>
          <t>Synopsis: פרק 19, 23
כרטיסיות: עמ' 203-207
ℹ טיפול DBT ב-BPD — Synopsis; אין פרק ייעודי ב-Dulcan</t>
        </is>
      </c>
      <c r="G98" s="11" t="inlineStr"/>
    </row>
    <row r="99">
      <c r="A99" s="11" t="n">
        <v>96</v>
      </c>
      <c r="B99" s="12" t="inlineStr">
        <is>
          <t>ASPD + Conduct Disorder</t>
        </is>
      </c>
      <c r="C99" s="11" t="inlineStr">
        <is>
          <t>8. Personality + Special Populations</t>
        </is>
      </c>
      <c r="D99" s="11" t="inlineStr">
        <is>
          <t>בינונית</t>
        </is>
      </c>
      <c r="E99" s="11" t="n">
        <v>10</v>
      </c>
      <c r="F99" s="12" t="inlineStr">
        <is>
          <t>Dulcan: פרק 11, עמ' 197-220
DSM-5-TR: Personality Disorders, עמ' 733-778
Synopsis: פרק 19
כרטיסיות: עמ' 42-44</t>
        </is>
      </c>
      <c r="G99" s="11" t="inlineStr"/>
    </row>
    <row r="100">
      <c r="A100" s="11" t="n">
        <v>97</v>
      </c>
      <c r="B100" s="12" t="inlineStr">
        <is>
          <t>הפרעת אישיות היסטריונית</t>
        </is>
      </c>
      <c r="C100" s="11" t="inlineStr">
        <is>
          <t>8. Personality + Special Populations</t>
        </is>
      </c>
      <c r="D100" s="11" t="inlineStr">
        <is>
          <t>בינונית</t>
        </is>
      </c>
      <c r="E100" s="11" t="n">
        <v>10</v>
      </c>
      <c r="F100" s="12" t="inlineStr">
        <is>
          <t>DSM-5-TR: Personality Disorders, עמ' 733-778
Synopsis: פרק 19</t>
        </is>
      </c>
      <c r="G100" s="11" t="inlineStr"/>
    </row>
    <row r="101">
      <c r="A101" s="11" t="n">
        <v>98</v>
      </c>
      <c r="B101" s="12" t="inlineStr">
        <is>
          <t>הפרעת אישיות נרציסיסטית</t>
        </is>
      </c>
      <c r="C101" s="11" t="inlineStr">
        <is>
          <t>8. Personality + Special Populations</t>
        </is>
      </c>
      <c r="D101" s="11" t="inlineStr">
        <is>
          <t>בינונית</t>
        </is>
      </c>
      <c r="E101" s="11" t="n">
        <v>10</v>
      </c>
      <c r="F101" s="12" t="inlineStr">
        <is>
          <t>DSM-5-TR: Personality Disorders, עמ' 733-778
Synopsis: פרק 19</t>
        </is>
      </c>
      <c r="G101" s="11" t="inlineStr"/>
    </row>
    <row r="102">
      <c r="A102" s="11" t="n">
        <v>99</v>
      </c>
      <c r="B102" s="12" t="inlineStr">
        <is>
          <t>הפרעת אישיות נמנעת</t>
        </is>
      </c>
      <c r="C102" s="11" t="inlineStr">
        <is>
          <t>8. Personality + Special Populations</t>
        </is>
      </c>
      <c r="D102" s="11" t="inlineStr">
        <is>
          <t>בינונית</t>
        </is>
      </c>
      <c r="E102" s="11" t="n">
        <v>10</v>
      </c>
      <c r="F102" s="12" t="inlineStr">
        <is>
          <t>DSM-5-TR: Personality Disorders, עמ' 733-778
Synopsis: פרק 19</t>
        </is>
      </c>
      <c r="G102" s="11" t="inlineStr"/>
    </row>
    <row r="103">
      <c r="A103" s="11" t="n">
        <v>100</v>
      </c>
      <c r="B103" s="12" t="inlineStr">
        <is>
          <t>הפרעת אישיות תלותית</t>
        </is>
      </c>
      <c r="C103" s="11" t="inlineStr">
        <is>
          <t>8. Personality + Special Populations</t>
        </is>
      </c>
      <c r="D103" s="11" t="inlineStr">
        <is>
          <t>בינונית</t>
        </is>
      </c>
      <c r="E103" s="11" t="n">
        <v>10</v>
      </c>
      <c r="F103" s="12" t="inlineStr">
        <is>
          <t>DSM-5-TR: Personality Disorders, עמ' 733-778
Synopsis: פרק 19</t>
        </is>
      </c>
      <c r="G103" s="11" t="inlineStr"/>
    </row>
    <row r="104">
      <c r="A104" s="11" t="n">
        <v>101</v>
      </c>
      <c r="B104" s="12" t="inlineStr">
        <is>
          <t>הפרעת אישיות אובססיבית-קומפולסיבית (OCPD)</t>
        </is>
      </c>
      <c r="C104" s="11" t="inlineStr">
        <is>
          <t>8. Personality + Special Populations</t>
        </is>
      </c>
      <c r="D104" s="11" t="inlineStr">
        <is>
          <t>בינונית</t>
        </is>
      </c>
      <c r="E104" s="11" t="n">
        <v>10</v>
      </c>
      <c r="F104" s="12" t="inlineStr">
        <is>
          <t>DSM-5-TR: Personality Disorders, עמ' 733-778
Synopsis: פרק 19</t>
        </is>
      </c>
      <c r="G104" s="11" t="inlineStr"/>
    </row>
    <row r="105">
      <c r="A105" s="11" t="n">
        <v>102</v>
      </c>
      <c r="B105" s="12" t="inlineStr">
        <is>
          <t>פסיכיאטריה משפטית</t>
        </is>
      </c>
      <c r="C105" s="11" t="inlineStr">
        <is>
          <t>8. Personality + Special Populations</t>
        </is>
      </c>
      <c r="D105" s="11" t="inlineStr">
        <is>
          <t>גבוהה</t>
        </is>
      </c>
      <c r="E105" s="11" t="n">
        <v>11</v>
      </c>
      <c r="F105" s="12" t="inlineStr">
        <is>
          <t>Dulcan: פרק 31, עמ' 637-652
Synopsis: פרק 28
כרטיסיות: עמ' 222-224</t>
        </is>
      </c>
      <c r="G105" s="11" t="inlineStr"/>
    </row>
    <row r="106">
      <c r="A106" s="11" t="n">
        <v>103</v>
      </c>
      <c r="B106" s="12" t="inlineStr">
        <is>
          <t>החוק הישראלי בפסיכיאטריה של הילד והמתבגר</t>
        </is>
      </c>
      <c r="C106" s="11" t="inlineStr">
        <is>
          <t>8. Personality + Special Populations</t>
        </is>
      </c>
      <c r="D106" s="11" t="inlineStr">
        <is>
          <t>גבוהה</t>
        </is>
      </c>
      <c r="E106" s="11" t="n">
        <v>11</v>
      </c>
      <c r="F106" s="12" t="inlineStr">
        <is>
          <t>Dulcan: פרק 31, עמ' 637-652
כרטיסיות: עמ' 222-224
ℹ הדין הישראלי — חקיקה מקומית; לא מכוסה בספרי הלימוד</t>
        </is>
      </c>
      <c r="G106" s="11" t="inlineStr"/>
    </row>
    <row r="107">
      <c r="A107" s="11" t="n">
        <v>104</v>
      </c>
      <c r="B107" s="12" t="inlineStr">
        <is>
          <t>דיספוריה מגדרית + טיפול LGBTQ+</t>
        </is>
      </c>
      <c r="C107" s="11" t="inlineStr">
        <is>
          <t>8. Personality + Special Populations</t>
        </is>
      </c>
      <c r="D107" s="11" t="inlineStr">
        <is>
          <t>בינונית</t>
        </is>
      </c>
      <c r="E107" s="11" t="n">
        <v>11</v>
      </c>
      <c r="F107" s="12" t="inlineStr">
        <is>
          <t>Dulcan: פרק 27, עמ' 565-580
DSM-5-TR: Gender Dysphoria, עמ' 511-520
כרטיסיות: עמ' 189-191</t>
        </is>
      </c>
      <c r="G107" s="11" t="inlineStr"/>
    </row>
    <row r="108">
      <c r="A108" s="11" t="n">
        <v>105</v>
      </c>
      <c r="B108" s="12" t="inlineStr">
        <is>
          <t>תפקודים מיניים + הפרעות פרפיליות</t>
        </is>
      </c>
      <c r="C108" s="11" t="inlineStr">
        <is>
          <t>8. Personality + Special Populations</t>
        </is>
      </c>
      <c r="D108" s="11" t="inlineStr">
        <is>
          <t>בינונית</t>
        </is>
      </c>
      <c r="E108" s="11" t="n">
        <v>11</v>
      </c>
      <c r="F108" s="12" t="inlineStr">
        <is>
          <t>DSM-5-TR: Sexual Dysfunctions · Paraphilic, עמ' 477-510, 779-802
Synopsis: פרק 16</t>
        </is>
      </c>
      <c r="G108" s="11" t="inlineStr"/>
    </row>
    <row r="109">
      <c r="A109" s="11" t="n">
        <v>106</v>
      </c>
      <c r="B109" s="12" t="inlineStr">
        <is>
          <t>ODD, IED, Kleptomania, Pyromania</t>
        </is>
      </c>
      <c r="C109" s="11" t="inlineStr">
        <is>
          <t>8. Personality + Special Populations</t>
        </is>
      </c>
      <c r="D109" s="11" t="inlineStr">
        <is>
          <t>נמוכה</t>
        </is>
      </c>
      <c r="E109" s="11" t="n">
        <v>11</v>
      </c>
      <c r="F109" s="12" t="inlineStr">
        <is>
          <t>Dulcan: פרק 11, עמ' 197-220
DSM-5-TR: Disruptive, עמ' 521-542
כרטיסיות: עמ' 37-49</t>
        </is>
      </c>
      <c r="G109" s="11" t="inlineStr"/>
    </row>
    <row r="110">
      <c r="A110" s="11" t="n">
        <v>107</v>
      </c>
      <c r="B110" s="12" t="inlineStr">
        <is>
          <t>אגרסיביות ואלימות בילדים ובמתבגרים</t>
        </is>
      </c>
      <c r="C110" s="11" t="inlineStr">
        <is>
          <t>8. Personality + Special Populations</t>
        </is>
      </c>
      <c r="D110" s="11" t="inlineStr">
        <is>
          <t>גבוהה</t>
        </is>
      </c>
      <c r="E110" s="11" t="n">
        <v>11</v>
      </c>
      <c r="F110" s="12" t="inlineStr">
        <is>
          <t>Dulcan: פרק 28, עמ' 581-604
כרטיסיות: עמ' 38-41</t>
        </is>
      </c>
      <c r="G110" s="11" t="inlineStr"/>
    </row>
    <row r="111">
      <c r="A111" s="11" t="n">
        <v>108</v>
      </c>
      <c r="B111" s="12" t="inlineStr">
        <is>
          <t>אובדנות בנער/ה</t>
        </is>
      </c>
      <c r="C111" s="11" t="inlineStr">
        <is>
          <t>8. Personality + Special Populations</t>
        </is>
      </c>
      <c r="D111" s="11" t="inlineStr">
        <is>
          <t>גבוהה</t>
        </is>
      </c>
      <c r="E111" s="11" t="n">
        <v>11</v>
      </c>
      <c r="F111" s="12" t="inlineStr">
        <is>
          <t>Dulcan: פרק 26, עמ' 551-564
כרטיסיות: עמ' 16-20</t>
        </is>
      </c>
      <c r="G111" s="11" t="inlineStr"/>
    </row>
    <row r="112">
      <c r="A112" s="11" t="n">
        <v>109</v>
      </c>
      <c r="B112" s="12" t="inlineStr">
        <is>
          <t>פגיעה עצמית ללא כוונת אובדנות (NSSI)</t>
        </is>
      </c>
      <c r="C112" s="11" t="inlineStr">
        <is>
          <t>8. Personality + Special Populations</t>
        </is>
      </c>
      <c r="D112" s="11" t="inlineStr">
        <is>
          <t>נמוכה</t>
        </is>
      </c>
      <c r="E112" s="11" t="n">
        <v>11</v>
      </c>
      <c r="F112" s="12" t="inlineStr">
        <is>
          <t>Dulcan: פרק 26, עמ' 551-564
כרטיסיות: עמ' 16-20</t>
        </is>
      </c>
      <c r="G112" s="11" t="inlineStr"/>
    </row>
    <row r="113">
      <c r="A113" s="11" t="n">
        <v>110</v>
      </c>
      <c r="B113" s="12" t="inlineStr">
        <is>
          <t>מעברים משפחתיים: גירושין, אימוץ ואומנה</t>
        </is>
      </c>
      <c r="C113" s="11" t="inlineStr">
        <is>
          <t>8. Personality + Special Populations</t>
        </is>
      </c>
      <c r="D113" s="11" t="inlineStr">
        <is>
          <t>בינונית</t>
        </is>
      </c>
      <c r="E113" s="11" t="n">
        <v>11</v>
      </c>
      <c r="F113" s="12" t="inlineStr">
        <is>
          <t>Dulcan: פרק 30, עמ' 621-636
כרטיסיות: עמ' 308-309</t>
        </is>
      </c>
      <c r="G113" s="11" t="inlineStr"/>
    </row>
    <row r="114">
      <c r="A114" s="11" t="n">
        <v>111</v>
      </c>
      <c r="B114" s="12" t="inlineStr">
        <is>
          <t>היבטים תרבותיים ודתיים בבריאות הנפש של הילד</t>
        </is>
      </c>
      <c r="C114" s="11" t="inlineStr">
        <is>
          <t>8. Personality + Special Populations</t>
        </is>
      </c>
      <c r="D114" s="11" t="inlineStr">
        <is>
          <t>בינונית</t>
        </is>
      </c>
      <c r="E114" s="11" t="n">
        <v>11</v>
      </c>
      <c r="F114" s="12" t="inlineStr">
        <is>
          <t>Dulcan: פרק 25, עמ' 539-550</t>
        </is>
      </c>
      <c r="G114" s="11" t="inlineStr"/>
    </row>
    <row r="115">
      <c r="A115" s="11" t="n">
        <v>112</v>
      </c>
      <c r="B115" s="12" t="inlineStr">
        <is>
          <t>פסיכיאטריה פרינטלית</t>
        </is>
      </c>
      <c r="C115" s="11" t="inlineStr">
        <is>
          <t>8. Personality + Special Populations</t>
        </is>
      </c>
      <c r="D115" s="11" t="inlineStr">
        <is>
          <t>גבוהה</t>
        </is>
      </c>
      <c r="E115" s="11" t="n">
        <v>11</v>
      </c>
      <c r="F115" s="12" t="inlineStr">
        <is>
          <t>DSM-5-TR: Depressive, עמ' 177-214
ℹ פסיכיאטריה פרינטלית — specifier peripartum ב-DSM; הרחבה בכרטיסיות</t>
        </is>
      </c>
      <c r="G115" s="11" t="inlineStr"/>
    </row>
    <row r="116">
      <c r="A116" s="11" t="n">
        <v>113</v>
      </c>
      <c r="B116" s="12" t="inlineStr">
        <is>
          <t>Brexanolone + Zuranolone לדיכאון לאחר לידה</t>
        </is>
      </c>
      <c r="C116" s="11" t="inlineStr">
        <is>
          <t>8. Personality + Special Populations</t>
        </is>
      </c>
      <c r="D116" s="11" t="inlineStr">
        <is>
          <t>נמוכה</t>
        </is>
      </c>
      <c r="E116" s="11" t="n">
        <v>12</v>
      </c>
      <c r="F116" s="12" t="inlineStr">
        <is>
          <t>Stahl Essential: פרק 7, עמ' 283-358</t>
        </is>
      </c>
      <c r="G116" s="11" t="inlineStr"/>
    </row>
    <row r="117">
      <c r="A117" s="11" t="n">
        <v>114</v>
      </c>
      <c r="B117" s="12" t="inlineStr">
        <is>
          <t>גריאטריה — סקירה (delirium)</t>
        </is>
      </c>
      <c r="C117" s="11" t="inlineStr">
        <is>
          <t>8. Personality + Special Populations</t>
        </is>
      </c>
      <c r="D117" s="11" t="inlineStr">
        <is>
          <t>בינונית</t>
        </is>
      </c>
      <c r="E117" s="11" t="n">
        <v>12</v>
      </c>
      <c r="F117" s="12" t="inlineStr">
        <is>
          <t>DSM-5-TR: Neurocognitive, עמ' 667-732
Stahl Essential: פרק 12, עמ' 486-537
Synopsis: פרק 3</t>
        </is>
      </c>
      <c r="G117" s="11" t="inlineStr"/>
    </row>
    <row r="118">
      <c r="A118" s="11" t="n">
        <v>115</v>
      </c>
      <c r="B118" s="12" t="inlineStr">
        <is>
          <t>נוירואנטומיה + בדיקה נוירולוגית בילדים</t>
        </is>
      </c>
      <c r="C118" s="11" t="inlineStr">
        <is>
          <t>9. Neurology + Cross-cutting</t>
        </is>
      </c>
      <c r="D118" s="11" t="inlineStr">
        <is>
          <t>בינונית</t>
        </is>
      </c>
      <c r="E118" s="11" t="n">
        <v>12</v>
      </c>
      <c r="F118" s="12" t="inlineStr">
        <is>
          <t>Dulcan: פרק 6, עמ' 91-106
Stahl Essential: פרק 1, עמ' 1-28
כרטיסיות: עמ' 283-285, 293-295</t>
        </is>
      </c>
      <c r="G118" s="11" t="inlineStr"/>
    </row>
    <row r="119">
      <c r="A119" s="11" t="n">
        <v>116</v>
      </c>
      <c r="B119" s="12" t="inlineStr">
        <is>
          <t>פרכוסים + אפילפסיה</t>
        </is>
      </c>
      <c r="C119" s="11" t="inlineStr">
        <is>
          <t>9. Neurology + Cross-cutting</t>
        </is>
      </c>
      <c r="D119" s="11" t="inlineStr">
        <is>
          <t>גבוהה</t>
        </is>
      </c>
      <c r="E119" s="11" t="n">
        <v>12</v>
      </c>
      <c r="F119" s="12" t="inlineStr">
        <is>
          <t>כרטיסיות: עמ' 293-295
ℹ נוירולוגיה — מהסילבוס ומהכרטיסיות; אין פרק ייעודי בספרי הליבה</t>
        </is>
      </c>
      <c r="G119" s="11" t="inlineStr"/>
    </row>
    <row r="120">
      <c r="A120" s="11" t="n">
        <v>117</v>
      </c>
      <c r="B120" s="12" t="inlineStr">
        <is>
          <t>חבלת ראש + סקוואלי TBI</t>
        </is>
      </c>
      <c r="C120" s="11" t="inlineStr">
        <is>
          <t>9. Neurology + Cross-cutting</t>
        </is>
      </c>
      <c r="D120" s="11" t="inlineStr">
        <is>
          <t>בינונית</t>
        </is>
      </c>
      <c r="E120" s="11" t="n">
        <v>12</v>
      </c>
      <c r="F120" s="12" t="inlineStr">
        <is>
          <t>כרטיסיות: עמ' 293-295
ℹ נוירולוגיה — מהסילבוס ומהכרטיסיות; אין פרק ייעודי בספרי הליבה</t>
        </is>
      </c>
      <c r="G120" s="11" t="inlineStr"/>
    </row>
    <row r="121">
      <c r="A121" s="11" t="n">
        <v>118</v>
      </c>
      <c r="B121" s="12" t="inlineStr">
        <is>
          <t>זיהומים ב-CNS עם השלכות פסיכיאטריות</t>
        </is>
      </c>
      <c r="C121" s="11" t="inlineStr">
        <is>
          <t>9. Neurology + Cross-cutting</t>
        </is>
      </c>
      <c r="D121" s="11" t="inlineStr">
        <is>
          <t>בינונית</t>
        </is>
      </c>
      <c r="E121" s="11" t="n">
        <v>12</v>
      </c>
      <c r="F121" s="12" t="inlineStr">
        <is>
          <t>כרטיסיות: עמ' 293-295
ℹ נוירולוגיה — מהסילבוס ומהכרטיסיות; אין פרק ייעודי בספרי הליבה</t>
        </is>
      </c>
      <c r="G121" s="11" t="inlineStr"/>
    </row>
    <row r="122">
      <c r="A122" s="11" t="n">
        <v>119</v>
      </c>
      <c r="B122" s="12" t="inlineStr">
        <is>
          <t>הפרעות תנועה: Huntington, Wilson</t>
        </is>
      </c>
      <c r="C122" s="11" t="inlineStr">
        <is>
          <t>9. Neurology + Cross-cutting</t>
        </is>
      </c>
      <c r="D122" s="11" t="inlineStr">
        <is>
          <t>בינונית</t>
        </is>
      </c>
      <c r="E122" s="11" t="n">
        <v>12</v>
      </c>
      <c r="F122" s="12" t="inlineStr">
        <is>
          <t>כרטיסיות: עמ' 293-295
ℹ נוירולוגיה — מהסילבוס ומהכרטיסיות; אין פרק ייעודי בספרי הליבה</t>
        </is>
      </c>
      <c r="G122" s="11" t="inlineStr"/>
    </row>
    <row r="123">
      <c r="A123" s="11" t="n">
        <v>120</v>
      </c>
      <c r="B123" s="12" t="inlineStr">
        <is>
          <t>גידולי מוח + pseudotumor</t>
        </is>
      </c>
      <c r="C123" s="11" t="inlineStr">
        <is>
          <t>9. Neurology + Cross-cutting</t>
        </is>
      </c>
      <c r="D123" s="11" t="inlineStr">
        <is>
          <t>נמוכה</t>
        </is>
      </c>
      <c r="E123" s="11" t="n">
        <v>12</v>
      </c>
      <c r="F123" s="12" t="inlineStr">
        <is>
          <t>כרטיסיות: עמ' 293-295
ℹ נוירולוגיה — מהסילבוס ומהכרטיסיות; אין פרק ייעודי בספרי הליבה</t>
        </is>
      </c>
      <c r="G123" s="11" t="inlineStr"/>
    </row>
    <row r="124">
      <c r="A124" s="11" t="n">
        <v>121</v>
      </c>
      <c r="B124" s="12" t="inlineStr">
        <is>
          <t>שיתוק מוחין (Cerebral Palsy)</t>
        </is>
      </c>
      <c r="C124" s="11" t="inlineStr">
        <is>
          <t>9. Neurology + Cross-cutting</t>
        </is>
      </c>
      <c r="D124" s="11" t="inlineStr">
        <is>
          <t>נמוכה</t>
        </is>
      </c>
      <c r="E124" s="11" t="n">
        <v>12</v>
      </c>
      <c r="F124" s="12" t="inlineStr">
        <is>
          <t>כרטיסיות: עמ' 293-295
ℹ נוירולוגיה — מהסילבוס ומהכרטיסיות; אין פרק ייעודי בספרי הליבה</t>
        </is>
      </c>
      <c r="G124" s="11" t="inlineStr"/>
    </row>
    <row r="125">
      <c r="A125" s="11" t="n">
        <v>122</v>
      </c>
      <c r="B125" s="12" t="inlineStr">
        <is>
          <t>תסמונות נוירוגנטיות</t>
        </is>
      </c>
      <c r="C125" s="11" t="inlineStr">
        <is>
          <t>9. Neurology + Cross-cutting</t>
        </is>
      </c>
      <c r="D125" s="11" t="inlineStr">
        <is>
          <t>גבוהה</t>
        </is>
      </c>
      <c r="E125" s="11" t="n">
        <v>12</v>
      </c>
      <c r="F125" s="12" t="inlineStr">
        <is>
          <t>Dulcan: פרק 7+8, עמ' 107-156
כרטיסיות: עמ' 287-295
ℹ סינדרומים נוירוגנטיים — Dulcan 7-8 + הסילבוס</t>
        </is>
      </c>
      <c r="G125" s="11" t="inlineStr"/>
    </row>
    <row r="126">
      <c r="A126" s="11" t="n">
        <v>123</v>
      </c>
      <c r="B126" s="12" t="inlineStr">
        <is>
          <t>תסמונות נוירוקוטנאיות</t>
        </is>
      </c>
      <c r="C126" s="11" t="inlineStr">
        <is>
          <t>9. Neurology + Cross-cutting</t>
        </is>
      </c>
      <c r="D126" s="11" t="inlineStr">
        <is>
          <t>נמוכה</t>
        </is>
      </c>
      <c r="E126" s="11" t="n">
        <v>12</v>
      </c>
      <c r="F126" s="12" t="inlineStr">
        <is>
          <t>Dulcan: פרק 7, עמ' 107-134
כרטיסיות: עמ' 293-295
ℹ נוירוקוטנאיים — Dulcan 7 + הסילבוס</t>
        </is>
      </c>
      <c r="G126" s="11" t="inlineStr"/>
    </row>
    <row r="127">
      <c r="A127" s="11" t="n">
        <v>124</v>
      </c>
      <c r="B127" s="12" t="inlineStr">
        <is>
          <t>כאב ראש + מיגרנה</t>
        </is>
      </c>
      <c r="C127" s="11" t="inlineStr">
        <is>
          <t>9. Neurology + Cross-cutting</t>
        </is>
      </c>
      <c r="D127" s="11" t="inlineStr">
        <is>
          <t>נמוכה</t>
        </is>
      </c>
      <c r="E127" s="11" t="n">
        <v>12</v>
      </c>
      <c r="F127" s="12" t="inlineStr">
        <is>
          <t>כרטיסיות: עמ' 293-295
ℹ נוירולוגיה — מהסילבוס ומהכרטיסיות; אין פרק ייעודי בספרי הליבה</t>
        </is>
      </c>
      <c r="G127" s="11" t="inlineStr"/>
    </row>
    <row r="128">
      <c r="A128" s="11" t="n">
        <v>125</v>
      </c>
      <c r="B128" s="12" t="inlineStr">
        <is>
          <t>מחלות מטבוליות עם ביטוי פסיכיאטרי</t>
        </is>
      </c>
      <c r="C128" s="11" t="inlineStr">
        <is>
          <t>9. Neurology + Cross-cutting</t>
        </is>
      </c>
      <c r="D128" s="11" t="inlineStr">
        <is>
          <t>גבוהה</t>
        </is>
      </c>
      <c r="E128" s="11" t="n">
        <v>13</v>
      </c>
      <c r="F128" s="12" t="inlineStr">
        <is>
          <t>כרטיסיות: עמ' 293-295
ℹ נוירולוגיה — מהסילבוס ומהכרטיסיות; אין פרק ייעודי בספרי הליבה</t>
        </is>
      </c>
      <c r="G128" s="11" t="inlineStr"/>
    </row>
    <row r="129">
      <c r="A129" s="11" t="n">
        <v>126</v>
      </c>
      <c r="B129" s="12" t="inlineStr">
        <is>
          <t>אוטואימוני: NMDA encephalitis, lupus, PANDAS</t>
        </is>
      </c>
      <c r="C129" s="11" t="inlineStr">
        <is>
          <t>9. Neurology + Cross-cutting</t>
        </is>
      </c>
      <c r="D129" s="11" t="inlineStr">
        <is>
          <t>בינונית</t>
        </is>
      </c>
      <c r="E129" s="11" t="n">
        <v>13</v>
      </c>
      <c r="F129" s="12" t="inlineStr">
        <is>
          <t>כרטיסיות: עמ' 293-295
ℹ נוירולוגיה — מהסילבוס ומהכרטיסיות; אין פרק ייעודי בספרי הליבה</t>
        </is>
      </c>
      <c r="G129" s="11" t="inlineStr"/>
    </row>
    <row r="130">
      <c r="A130" s="11" t="n">
        <v>127</v>
      </c>
      <c r="B130" s="12" t="inlineStr">
        <is>
          <t>ניוון עצבי בילדים</t>
        </is>
      </c>
      <c r="C130" s="11" t="inlineStr">
        <is>
          <t>9. Neurology + Cross-cutting</t>
        </is>
      </c>
      <c r="D130" s="11" t="inlineStr">
        <is>
          <t>נמוכה</t>
        </is>
      </c>
      <c r="E130" s="11" t="n">
        <v>13</v>
      </c>
      <c r="F130" s="12" t="inlineStr">
        <is>
          <t>כרטיסיות: עמ' 293-295
ℹ נוירולוגיה — מהסילבוס ומהכרטיסיות; אין פרק ייעודי בספרי הליבה</t>
        </is>
      </c>
      <c r="G130" s="11" t="inlineStr"/>
    </row>
    <row r="131">
      <c r="A131" s="11" t="n">
        <v>128</v>
      </c>
      <c r="B131" s="12" t="inlineStr">
        <is>
          <t>רפואת שינה — אינטנסיבית</t>
        </is>
      </c>
      <c r="C131" s="11" t="inlineStr">
        <is>
          <t>9. Neurology + Cross-cutting</t>
        </is>
      </c>
      <c r="D131" s="11" t="inlineStr">
        <is>
          <t>בינונית</t>
        </is>
      </c>
      <c r="E131" s="11" t="n">
        <v>13</v>
      </c>
      <c r="F131" s="12" t="inlineStr">
        <is>
          <t>Dulcan: פרק 22, עמ' 473-502
Stahl Essential: פרק 10, עמ' 401-448
כרטיסיות: עמ' 208-216</t>
        </is>
      </c>
      <c r="G131" s="11" t="inlineStr"/>
    </row>
    <row r="132">
      <c r="A132" s="11" t="n">
        <v>129</v>
      </c>
      <c r="B132" s="12" t="inlineStr">
        <is>
          <t>חירום פסיכיאטרי בילדים ובמתבגרים</t>
        </is>
      </c>
      <c r="C132" s="11" t="inlineStr">
        <is>
          <t>9. Neurology + Cross-cutting</t>
        </is>
      </c>
      <c r="D132" s="11" t="inlineStr">
        <is>
          <t>גבוהה</t>
        </is>
      </c>
      <c r="E132" s="11" t="n">
        <v>13</v>
      </c>
      <c r="F132" s="12" t="inlineStr">
        <is>
          <t>Dulcan: פרק 29, עמ' 605-620</t>
        </is>
      </c>
      <c r="G132" s="11" t="inlineStr"/>
    </row>
    <row r="133">
      <c r="A133" s="11" t="n">
        <v>130</v>
      </c>
      <c r="B133" s="12" t="inlineStr">
        <is>
          <t>ייעוץ-קישור: פדיאטריה, אונקולוגיה ומחלות כרוניות</t>
        </is>
      </c>
      <c r="C133" s="11" t="inlineStr">
        <is>
          <t>9. Neurology + Cross-cutting</t>
        </is>
      </c>
      <c r="D133" s="11" t="inlineStr">
        <is>
          <t>גבוהה</t>
        </is>
      </c>
      <c r="E133" s="11" t="n">
        <v>13</v>
      </c>
      <c r="F133" s="12" t="inlineStr">
        <is>
          <t>Dulcan: פרק 48+49, עמ' 1071-1161
כרטיסיות: עמ' 296-299</t>
        </is>
      </c>
      <c r="G133" s="11" t="inlineStr"/>
    </row>
    <row r="134">
      <c r="A134" s="11" t="n">
        <v>131</v>
      </c>
      <c r="B134" s="12" t="inlineStr">
        <is>
          <t>סקירת תיאוריות פסיכותרפויטיות</t>
        </is>
      </c>
      <c r="C134" s="11" t="inlineStr">
        <is>
          <t>9. Neurology + Cross-cutting</t>
        </is>
      </c>
      <c r="D134" s="11" t="inlineStr">
        <is>
          <t>גבוהה</t>
        </is>
      </c>
      <c r="E134" s="11" t="n">
        <v>13</v>
      </c>
      <c r="F134" s="12" t="inlineStr">
        <is>
          <t>Dulcan: פרק 38, עמ' 847-872
Synopsis: פרק 23
כרטיסיות: עמ' 225-236</t>
        </is>
      </c>
      <c r="G134" s="11" t="inlineStr"/>
    </row>
    <row r="135">
      <c r="A135" s="11" t="n">
        <v>132</v>
      </c>
      <c r="B135" s="12" t="inlineStr">
        <is>
          <t>CBT — תיאוריה ופרקטיקה</t>
        </is>
      </c>
      <c r="C135" s="11" t="inlineStr">
        <is>
          <t>10. Psychotherapy + Integration</t>
        </is>
      </c>
      <c r="D135" s="11" t="inlineStr">
        <is>
          <t>גבוהה</t>
        </is>
      </c>
      <c r="E135" s="11" t="n">
        <v>13</v>
      </c>
      <c r="F135" s="12" t="inlineStr">
        <is>
          <t>Dulcan: פרק 43, עמ' 967-984
Synopsis: פרק 23
כרטיסיות: עמ' 278-280</t>
        </is>
      </c>
      <c r="G135" s="11" t="inlineStr"/>
    </row>
    <row r="136">
      <c r="A136" s="11" t="n">
        <v>133</v>
      </c>
      <c r="B136" s="12" t="inlineStr">
        <is>
          <t>DBT — תיאוריה ופרקטיקה</t>
        </is>
      </c>
      <c r="C136" s="11" t="inlineStr">
        <is>
          <t>10. Psychotherapy + Integration</t>
        </is>
      </c>
      <c r="D136" s="11" t="inlineStr">
        <is>
          <t>גבוהה</t>
        </is>
      </c>
      <c r="E136" s="11" t="n">
        <v>13</v>
      </c>
      <c r="F136" s="12" t="inlineStr">
        <is>
          <t>Synopsis: פרק 23
כרטיסיות: עמ' 203-207, 225-236
ℹ DBT — Synopsis פרק 23; אין פרק ייעודי ב-Dulcan</t>
        </is>
      </c>
      <c r="G136" s="11" t="inlineStr"/>
    </row>
    <row r="137">
      <c r="A137" s="11" t="n">
        <v>134</v>
      </c>
      <c r="B137" s="12" t="inlineStr">
        <is>
          <t>IPT-A — פסיכותרפיה בין-אישית למתבגרים</t>
        </is>
      </c>
      <c r="C137" s="11" t="inlineStr">
        <is>
          <t>10. Psychotherapy + Integration</t>
        </is>
      </c>
      <c r="D137" s="11" t="inlineStr">
        <is>
          <t>בינונית</t>
        </is>
      </c>
      <c r="E137" s="11" t="n">
        <v>13</v>
      </c>
      <c r="F137" s="12" t="inlineStr">
        <is>
          <t>Dulcan: פרק 42, עמ' 955-966
כרטיסיות: עמ' 237-242</t>
        </is>
      </c>
      <c r="G137" s="11" t="inlineStr"/>
    </row>
    <row r="138">
      <c r="A138" s="11" t="n">
        <v>135</v>
      </c>
      <c r="B138" s="12" t="inlineStr">
        <is>
          <t>ראיון מוטיבציוני</t>
        </is>
      </c>
      <c r="C138" s="11" t="inlineStr">
        <is>
          <t>10. Psychotherapy + Integration</t>
        </is>
      </c>
      <c r="D138" s="11" t="inlineStr">
        <is>
          <t>בינונית</t>
        </is>
      </c>
      <c r="E138" s="11" t="n">
        <v>14</v>
      </c>
      <c r="F138" s="12" t="inlineStr">
        <is>
          <t>Dulcan: פרק 44, עמ' 985-998
כרטיסיות: עמ' 237-242</t>
        </is>
      </c>
      <c r="G138" s="11" t="inlineStr"/>
    </row>
    <row r="139">
      <c r="A139" s="11" t="n">
        <v>136</v>
      </c>
      <c r="B139" s="12" t="inlineStr">
        <is>
          <t>מסגרות טיפול: אשפוז, אשפוז יום, מגורים ו-Systems of Care</t>
        </is>
      </c>
      <c r="C139" s="11" t="inlineStr">
        <is>
          <t>10. Psychotherapy + Integration</t>
        </is>
      </c>
      <c r="D139" s="11" t="inlineStr">
        <is>
          <t>בינונית</t>
        </is>
      </c>
      <c r="E139" s="11" t="n">
        <v>14</v>
      </c>
      <c r="F139" s="12" t="inlineStr">
        <is>
          <t>Dulcan: פרק 45+46, עמ' 999-1042</t>
        </is>
      </c>
      <c r="G139" s="11" t="inlineStr"/>
    </row>
    <row r="140">
      <c r="A140" s="11" t="n">
        <v>137</v>
      </c>
      <c r="B140" s="12" t="inlineStr">
        <is>
          <t>התערבויות וייעוץ במסגרת בית הספר</t>
        </is>
      </c>
      <c r="C140" s="11" t="inlineStr">
        <is>
          <t>10. Psychotherapy + Integration</t>
        </is>
      </c>
      <c r="D140" s="11" t="inlineStr">
        <is>
          <t>בינונית</t>
        </is>
      </c>
      <c r="E140" s="11" t="n">
        <v>14</v>
      </c>
      <c r="F140" s="12" t="inlineStr">
        <is>
          <t>Dulcan: פרק 47, עמ' 1043-1070</t>
        </is>
      </c>
      <c r="G140" s="11" t="inlineStr"/>
    </row>
    <row r="141">
      <c r="A141" s="11" t="n">
        <v>138</v>
      </c>
      <c r="B141" s="12" t="inlineStr">
        <is>
          <t>טיפול משפחתי + הדרכת הורים</t>
        </is>
      </c>
      <c r="C141" s="11" t="inlineStr">
        <is>
          <t>10. Psychotherapy + Integration</t>
        </is>
      </c>
      <c r="D141" s="11" t="inlineStr">
        <is>
          <t>בינונית</t>
        </is>
      </c>
      <c r="E141" s="11" t="n">
        <v>14</v>
      </c>
      <c r="F141" s="12" t="inlineStr">
        <is>
          <t>Dulcan: פרק 40+41, עמ' 899-954
כרטיסיות: עמ' 237-242</t>
        </is>
      </c>
      <c r="G141" s="11" t="inlineStr"/>
    </row>
    <row r="142">
      <c r="A142" s="11" t="n">
        <v>139</v>
      </c>
      <c r="B142" s="12" t="inlineStr">
        <is>
          <t>פסיכודינמי: Anna Freud, Klein, Kohut, Mentalization</t>
        </is>
      </c>
      <c r="C142" s="11" t="inlineStr">
        <is>
          <t>10. Psychotherapy + Integration</t>
        </is>
      </c>
      <c r="D142" s="11" t="inlineStr">
        <is>
          <t>גבוהה</t>
        </is>
      </c>
      <c r="E142" s="11" t="n">
        <v>14</v>
      </c>
      <c r="F142" s="12" t="inlineStr">
        <is>
          <t>Dulcan: פרק 38, עמ' 847-872
Synopsis: פרק 23
כרטיסיות: עמ' 243-265</t>
        </is>
      </c>
      <c r="G142" s="11" t="inlineStr"/>
    </row>
    <row r="143">
      <c r="A143" s="11" t="n">
        <v>140</v>
      </c>
      <c r="B143" s="12" t="inlineStr">
        <is>
          <t>יחסי אובייקט: ויניקוט, מאהלר, קרנברג</t>
        </is>
      </c>
      <c r="C143" s="11" t="inlineStr">
        <is>
          <t>10. Psychotherapy + Integration</t>
        </is>
      </c>
      <c r="D143" s="11" t="inlineStr">
        <is>
          <t>גבוהה</t>
        </is>
      </c>
      <c r="E143" s="11" t="n">
        <v>14</v>
      </c>
      <c r="F143" s="12" t="inlineStr">
        <is>
          <t>Dulcan: פרק 38, עמ' 847-872
Synopsis: פרק 23
כרטיסיות: עמ' 253-261
ℹ תיאוריה — מהכרטיסיות ומ-Synopsis; אין פרק ייעודי ב-Dulcan</t>
        </is>
      </c>
      <c r="G143" s="11" t="inlineStr"/>
    </row>
    <row r="144">
      <c r="A144" s="11" t="n">
        <v>141</v>
      </c>
      <c r="B144" s="12" t="inlineStr">
        <is>
          <t>תיאורטיקנים נוספים: אריקסון, ביון, אוגדן, לאקאן, שפיץ, שטרן וההתייחסותיים</t>
        </is>
      </c>
      <c r="C144" s="11" t="inlineStr">
        <is>
          <t>10. Psychotherapy + Integration</t>
        </is>
      </c>
      <c r="D144" s="11" t="inlineStr">
        <is>
          <t>גבוהה</t>
        </is>
      </c>
      <c r="E144" s="11" t="n">
        <v>14</v>
      </c>
      <c r="F144" s="12" t="inlineStr">
        <is>
          <t>Synopsis: פרק 23
כרטיסיות: עמ' 266-277
ℹ תיאוריה — מהכרטיסיות ומ-Synopsis; אין פרק ייעודי ב-Dulcan</t>
        </is>
      </c>
      <c r="G144" s="11" t="inlineStr"/>
    </row>
    <row r="145">
      <c r="A145" s="11" t="n">
        <v>142</v>
      </c>
      <c r="B145" s="12" t="inlineStr">
        <is>
          <t>בריאות נפש מרחוק לילדים ומתבגרים</t>
        </is>
      </c>
      <c r="C145" s="11" t="inlineStr">
        <is>
          <t>10. Psychotherapy + Integration</t>
        </is>
      </c>
      <c r="D145" s="11" t="inlineStr">
        <is>
          <t>נמוכה</t>
        </is>
      </c>
      <c r="E145" s="11" t="n">
        <v>14</v>
      </c>
      <c r="F145" s="12" t="inlineStr">
        <is>
          <t>Dulcan: פרק 32, עמ' 653-676</t>
        </is>
      </c>
      <c r="G145" s="11" t="inlineStr"/>
    </row>
    <row r="146">
      <c r="A146" s="11" t="n">
        <v>143</v>
      </c>
      <c r="B146" s="12" t="inlineStr">
        <is>
          <t>רפואה מבוססת ראיות בפסיכיאטריה של הילד</t>
        </is>
      </c>
      <c r="C146" s="11" t="inlineStr">
        <is>
          <t>10. Psychotherapy + Integration</t>
        </is>
      </c>
      <c r="D146" s="11" t="inlineStr">
        <is>
          <t>בינונית</t>
        </is>
      </c>
      <c r="E146" s="11" t="n">
        <v>14</v>
      </c>
      <c r="F146" s="12" t="inlineStr">
        <is>
          <t>Dulcan: פרק 23, עמ' 503-516</t>
        </is>
      </c>
      <c r="G146" s="11" t="inlineStr"/>
    </row>
    <row r="147">
      <c r="A147" s="11" t="n">
        <v>144</v>
      </c>
      <c r="B147" s="12" t="inlineStr">
        <is>
          <t>אינטגרציה + שאלות + סקירת נקודות חולשה</t>
        </is>
      </c>
      <c r="C147" s="11" t="inlineStr">
        <is>
          <t>10. Psychotherapy + Integration</t>
        </is>
      </c>
      <c r="D147" s="11" t="inlineStr">
        <is>
          <t>גבוהה</t>
        </is>
      </c>
      <c r="E147" s="11" t="n">
        <v>14</v>
      </c>
      <c r="F147" s="12" t="inlineStr">
        <is>
          <t>ℹ סקירת אינטגרציה — כל החומר</t>
        </is>
      </c>
      <c r="G147" s="11" t="inlineStr"/>
    </row>
  </sheetData>
  <dataValidations count="1">
    <dataValidation sqref="G4:G147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0" customWidth="1" min="3" max="3"/>
    <col width="20" customWidth="1" min="4" max="4"/>
    <col width="20" customWidth="1" min="5" max="5"/>
    <col width="20" customWidth="1" min="6" max="6"/>
    <col width="20" customWidth="1" min="7" max="7"/>
    <col width="8" customWidth="1" min="8" max="8"/>
    <col width="55" customWidth="1" min="9" max="9"/>
    <col width="20" customWidth="1" min="10" max="10"/>
  </cols>
  <sheetData>
    <row r="1">
      <c r="A1" s="1" t="inlineStr">
        <is>
          <t>שבוע</t>
        </is>
      </c>
      <c r="B1" s="1" t="inlineStr">
        <is>
          <t>#</t>
        </is>
      </c>
      <c r="C1" s="1" t="inlineStr">
        <is>
          <t>שאלה</t>
        </is>
      </c>
      <c r="D1" s="1" t="inlineStr">
        <is>
          <t>א</t>
        </is>
      </c>
      <c r="E1" s="1" t="inlineStr">
        <is>
          <t>ב</t>
        </is>
      </c>
      <c r="F1" s="1" t="inlineStr">
        <is>
          <t>ג</t>
        </is>
      </c>
      <c r="G1" s="1" t="inlineStr">
        <is>
          <t>ד</t>
        </is>
      </c>
      <c r="H1" s="1" t="inlineStr">
        <is>
          <t>תשובה</t>
        </is>
      </c>
      <c r="I1" s="1" t="inlineStr">
        <is>
          <t>הסבר</t>
        </is>
      </c>
      <c r="J1" s="1" t="inlineStr">
        <is>
          <t>מקור</t>
        </is>
      </c>
    </row>
    <row r="2">
      <c r="A2" s="2" t="n">
        <v>1</v>
      </c>
      <c r="B2" s="2" t="n">
        <v>1</v>
      </c>
      <c r="C2" s="13" t="inlineStr">
        <is>
          <t>מסלול דופמינרגי אשר חסימתו על ידי אנטגוניסטים ל-D2 אחראית לתסמינים חוץ-פירמידליים (EPS) הוא:</t>
        </is>
      </c>
      <c r="D2" s="13" t="inlineStr">
        <is>
          <t>Mesolimbic</t>
        </is>
      </c>
      <c r="E2" s="13" t="inlineStr">
        <is>
          <t>Mesocortical</t>
        </is>
      </c>
      <c r="F2" s="13" t="inlineStr">
        <is>
          <t>Nigrostriatal</t>
        </is>
      </c>
      <c r="G2" s="13" t="inlineStr">
        <is>
          <t>Tuberoinfundibular</t>
        </is>
      </c>
      <c r="H2" s="14" t="inlineStr">
        <is>
          <t>ג</t>
        </is>
      </c>
      <c r="I2" s="13" t="inlineStr">
        <is>
          <t>המסלול הניגרוסטריאטלי (substantia nigra → striatum) שולט בתנועה; חסימת D2 בו גורמת ל-EPS (פרקינסוניזם, דיסטוניה, אקתזיה). המזולימבי קשור לתסמינים חיוביים, המזוקורטיקלי לשליליים/קוגניטיביים, והטוברואינפונדיבולרי מווסת פרולקטין (חסימתו → היפרפרולקטינמיה).</t>
        </is>
      </c>
      <c r="J2" s="13" t="inlineStr">
        <is>
          <t>Stahl Essential ch.4-5</t>
        </is>
      </c>
    </row>
    <row r="3">
      <c r="A3" s="2" t="n">
        <v>1</v>
      </c>
      <c r="B3" s="2" t="n">
        <v>2</v>
      </c>
      <c r="C3" s="13" t="inlineStr">
        <is>
          <t>הרצפטור הסרוטונרגי הפרה-סינפטי המתפקד כאוטו-רצפטור ומווסת שחרור סרוטונין הוא:</t>
        </is>
      </c>
      <c r="D3" s="13" t="inlineStr">
        <is>
          <t>5-HT2A</t>
        </is>
      </c>
      <c r="E3" s="13" t="inlineStr">
        <is>
          <t>5-HT1A</t>
        </is>
      </c>
      <c r="F3" s="13" t="inlineStr">
        <is>
          <t>5-HT3</t>
        </is>
      </c>
      <c r="G3" s="13" t="inlineStr">
        <is>
          <t>5-HT2C</t>
        </is>
      </c>
      <c r="H3" s="14" t="inlineStr">
        <is>
          <t>ב</t>
        </is>
      </c>
      <c r="I3" s="13" t="inlineStr">
        <is>
          <t>5-HT1A הוא אוטו-רצפטור פרה-סינפטי; גירויו מפחית ירי נוירוני ושחרור סרוטונין (down-regulation עצמי). דה-רגולציה שלו לאורך זמן מסבירה את זמן ההשהיה בתגובה ל-SSRI. 5-HT2A ו-5-HT2C הם פוסט-סינפטיים.</t>
        </is>
      </c>
      <c r="J3" s="13" t="inlineStr">
        <is>
          <t>Stahl Essential ch.5; כרטיסיות עמ' 281-282</t>
        </is>
      </c>
    </row>
    <row r="4">
      <c r="A4" s="2" t="n">
        <v>1</v>
      </c>
      <c r="B4" s="2" t="n">
        <v>3</v>
      </c>
      <c r="C4" s="13" t="inlineStr">
        <is>
          <t>לפי DSM-5-TR, גיל ההופעה האופייני של חיוך חברתי (social smile) הוא:</t>
        </is>
      </c>
      <c r="D4" s="13" t="inlineStr">
        <is>
          <t>בלידה</t>
        </is>
      </c>
      <c r="E4" s="13" t="inlineStr">
        <is>
          <t>6-8 שבועות</t>
        </is>
      </c>
      <c r="F4" s="13" t="inlineStr">
        <is>
          <t>6 חודשים</t>
        </is>
      </c>
      <c r="G4" s="13" t="inlineStr">
        <is>
          <t>12 חודשים</t>
        </is>
      </c>
      <c r="H4" s="14" t="inlineStr">
        <is>
          <t>ב</t>
        </is>
      </c>
      <c r="I4" s="13" t="inlineStr">
        <is>
          <t>חיוך חברתי מופיע סביב גיל 6-8 שבועות והוא אבן דרך חברתית-רגשית מוקדמת חשובה. חרדת זרים מופיעה סביב 8 חודשים; מילים בודדות סביב 12 חודשים.</t>
        </is>
      </c>
      <c r="J4" s="13" t="inlineStr">
        <is>
          <t>Dulcan ch.2; כרטיסיות עמ' 300-307</t>
        </is>
      </c>
    </row>
    <row r="5">
      <c r="A5" s="2" t="n">
        <v>1</v>
      </c>
      <c r="B5" s="2" t="n">
        <v>4</v>
      </c>
      <c r="C5" s="13" t="inlineStr">
        <is>
          <t>פרדוקס הפעולה של אמפטמין ומתילפנידאט ב-ADHD מוסבר בעיקר על ידי:</t>
        </is>
      </c>
      <c r="D5" s="13" t="inlineStr">
        <is>
          <t>חסימת רצפטורי D2 פוסט-סינפטיים</t>
        </is>
      </c>
      <c r="E5" s="13" t="inlineStr">
        <is>
          <t>הגברת טונוס דופמין/נוראדרנלין ב-PFC לשיפור signal-to-noise</t>
        </is>
      </c>
      <c r="F5" s="13" t="inlineStr">
        <is>
          <t>אגוניזם ישיר לרצפטורי GABA</t>
        </is>
      </c>
      <c r="G5" s="13" t="inlineStr">
        <is>
          <t>עיכוב MAO-B</t>
        </is>
      </c>
      <c r="H5" s="14" t="inlineStr">
        <is>
          <t>ב</t>
        </is>
      </c>
      <c r="I5" s="13" t="inlineStr">
        <is>
          <t>הסטימולנטים מעלים דופמין ונוראדרנלין בקורטקס הפרה-פרונטלי (PFC), ובכך משפרים את יחס האות-לרעש (signal-to-noise) של רשתות הקשב. עקומת מינון-תגובה היא בצורת U הפוכה — יותר מדי או מעט מדי פוגעים בביצוע.</t>
        </is>
      </c>
      <c r="J5" s="13" t="inlineStr">
        <is>
          <t>Stahl Essential ch.11</t>
        </is>
      </c>
    </row>
    <row r="6">
      <c r="A6" s="2" t="n">
        <v>1</v>
      </c>
      <c r="B6" s="2" t="n">
        <v>5</v>
      </c>
      <c r="C6" s="13" t="inlineStr">
        <is>
          <t>GABA הוא הנוירוטרנסמיטר המעכב העיקרי במוח; הרצפטור שדרכו פועלים בנזודיאזפינים הוא:</t>
        </is>
      </c>
      <c r="D6" s="13" t="inlineStr">
        <is>
          <t>GABA-B מטבוטרופי</t>
        </is>
      </c>
      <c r="E6" s="13" t="inlineStr">
        <is>
          <t>GABA-A יונוטרופי (תעלת כלוריד)</t>
        </is>
      </c>
      <c r="F6" s="13" t="inlineStr">
        <is>
          <t>NMDA</t>
        </is>
      </c>
      <c r="G6" s="13" t="inlineStr">
        <is>
          <t>AMPA</t>
        </is>
      </c>
      <c r="H6" s="14" t="inlineStr">
        <is>
          <t>ב</t>
        </is>
      </c>
      <c r="I6" s="13" t="inlineStr">
        <is>
          <t>בנזודיאזפינים הם מודולטורים אלוסטריים חיוביים של רצפטור GABA-A, תעלת כלוריד יונוטרופית — הם מגבירים את תדירות פתיחת התעלה בנוכחות GABA. GABA-B הוא מטבוטרופי (מטרה של בקלופן). NMDA/AMPA הם גלוטמטרגיים מעוררים.</t>
        </is>
      </c>
      <c r="J6" s="13" t="inlineStr">
        <is>
          <t>Stahl Essential ch.3</t>
        </is>
      </c>
    </row>
    <row r="7">
      <c r="A7" s="15" t="n">
        <v>2</v>
      </c>
      <c r="B7" s="15" t="n">
        <v>1</v>
      </c>
      <c r="C7" s="13" t="inlineStr">
        <is>
          <t>ילד בן 14 חודשים בפרוצדורת ה-Strange Situation בוכה בעזיבת האם, אך כשהיא חוזרת הוא ניגש אליה, מתנחם במהירות וחוזר למשחק. סגנון ההתקשרות:</t>
        </is>
      </c>
      <c r="D7" s="13" t="inlineStr">
        <is>
          <t>נמנע (avoidant)</t>
        </is>
      </c>
      <c r="E7" s="13" t="inlineStr">
        <is>
          <t>בטוח (secure)</t>
        </is>
      </c>
      <c r="F7" s="13" t="inlineStr">
        <is>
          <t>חרד-אמביוולנטי (resistant)</t>
        </is>
      </c>
      <c r="G7" s="13" t="inlineStr">
        <is>
          <t>לא-מאורגן (disorganized)</t>
        </is>
      </c>
      <c r="H7" s="14" t="inlineStr">
        <is>
          <t>ב</t>
        </is>
      </c>
      <c r="I7" s="13" t="inlineStr">
        <is>
          <t>התנחמות מהירה עם חזרה לחקר הסביבה = התקשרות בטוחה. נמנע — הילד מתעלם מהאם בחזרתה; אמביוולנטי — נצמד וכועס ולא מתנחם; לא-מאורגן — התנהגות סותרת/קפואה, קשור להזנחה והתעללות.</t>
        </is>
      </c>
      <c r="J7" s="13" t="inlineStr">
        <is>
          <t>כרטיסיות עמ' 304-307; Dulcan ch.2</t>
        </is>
      </c>
    </row>
    <row r="8">
      <c r="A8" s="15" t="n">
        <v>2</v>
      </c>
      <c r="B8" s="15" t="n">
        <v>2</v>
      </c>
      <c r="C8" s="13" t="inlineStr">
        <is>
          <t>מהו הסף הדיאגנוסטי של תסמיני חוסר-קשב ב-ADHD למתבגר מעל גיל 17 לפי DSM-5-TR?</t>
        </is>
      </c>
      <c r="D8" s="13" t="inlineStr">
        <is>
          <t>6 תסמינים</t>
        </is>
      </c>
      <c r="E8" s="13" t="inlineStr">
        <is>
          <t>5 תסמינים</t>
        </is>
      </c>
      <c r="F8" s="13" t="inlineStr">
        <is>
          <t>4 תסמינים</t>
        </is>
      </c>
      <c r="G8" s="13" t="inlineStr">
        <is>
          <t>3 תסמינים</t>
        </is>
      </c>
      <c r="H8" s="14" t="inlineStr">
        <is>
          <t>ב</t>
        </is>
      </c>
      <c r="I8" s="13" t="inlineStr">
        <is>
          <t>לילדים עד גיל 16 נדרשים ≥6 תסמינים מכל קבוצה; מגיל 17 ומעלה הסף יורד ל-≥5. בנוסף: תסמינים לפני גיל 12, ב-≥2 סביבות, עם פגיעה תפקודית.</t>
        </is>
      </c>
      <c r="J8" s="13" t="inlineStr">
        <is>
          <t>DSM-5-TR עמ' 68-70</t>
        </is>
      </c>
    </row>
    <row r="9">
      <c r="A9" s="15" t="n">
        <v>2</v>
      </c>
      <c r="B9" s="15" t="n">
        <v>3</v>
      </c>
      <c r="C9" s="13" t="inlineStr">
        <is>
          <t>עיקרון מרכזי בפסיכופרמקולוגיה של ילדים הנובע מכך שהם 'rapid metabolizers' יחסית למבוגרים:</t>
        </is>
      </c>
      <c r="D9" s="13" t="inlineStr">
        <is>
          <t>תמיד מינון נמוך יותר מהמבוגר</t>
        </is>
      </c>
      <c r="E9" s="13" t="inlineStr">
        <is>
          <t>לעיתים מינון/ק"ג גבוה יותר ופיצול מנות בשל T½ קצר</t>
        </is>
      </c>
      <c r="F9" s="13" t="inlineStr">
        <is>
          <t>אין צורך בניטור</t>
        </is>
      </c>
      <c r="G9" s="13" t="inlineStr">
        <is>
          <t>יש להימנע מ-CYP450 substrates</t>
        </is>
      </c>
      <c r="H9" s="14" t="inlineStr">
        <is>
          <t>ב</t>
        </is>
      </c>
      <c r="I9" s="13" t="inlineStr">
        <is>
          <t>מטבוליזם כבדי מהיר יותר ו-T½ קצר יחסית מובילים לעיתים למינון-לק"ג גבוה יותר ולצורך בפיצול מנות. עדיין נשמר עקרון 'start low, go slow' וניטור. שים לב ל-black box של SSRI ואובדנות מתחת לגיל 25.</t>
        </is>
      </c>
      <c r="J9" s="13" t="inlineStr">
        <is>
          <t>Dulcan ch.33</t>
        </is>
      </c>
    </row>
    <row r="10">
      <c r="A10" s="15" t="n">
        <v>2</v>
      </c>
      <c r="B10" s="15" t="n">
        <v>4</v>
      </c>
      <c r="C10" s="13" t="inlineStr">
        <is>
          <t>התרופה הלא-סטימולנטית ל-ADHD שהיא מעכב סלקטיבי של ספיגה חוזרת של נוראדרנלין (NRI):</t>
        </is>
      </c>
      <c r="D10" s="13" t="inlineStr">
        <is>
          <t>Guanfacine</t>
        </is>
      </c>
      <c r="E10" s="13" t="inlineStr">
        <is>
          <t>Clonidine</t>
        </is>
      </c>
      <c r="F10" s="13" t="inlineStr">
        <is>
          <t>Atomoxetine</t>
        </is>
      </c>
      <c r="G10" s="13" t="inlineStr">
        <is>
          <t>Bupropion</t>
        </is>
      </c>
      <c r="H10" s="14" t="inlineStr">
        <is>
          <t>ג</t>
        </is>
      </c>
      <c r="I10" s="13" t="inlineStr">
        <is>
          <t>אטומוקסטין הוא NRI סלקטיבי; אין לו פוטנציאל ניצול לרעה, אך תחילת השפעה איטית (שבועות) ונושא black box לאובדנות. Guanfacine ו-Clonidine הם אגוניסטים אלפא-2. Bupropion (off-label) מעכב ספיגה של דופמין/נוראדרנלין.</t>
        </is>
      </c>
      <c r="J10" s="13" t="inlineStr">
        <is>
          <t>Stahl C&amp;A (atomoxetine); Dulcan ch.34</t>
        </is>
      </c>
    </row>
    <row r="11">
      <c r="A11" s="15" t="n">
        <v>2</v>
      </c>
      <c r="B11" s="15" t="n">
        <v>5</v>
      </c>
      <c r="C11" s="13" t="inlineStr">
        <is>
          <t>המאפיין הליבתי ההכרחי לאבחנת Autism Spectrum Disorder לפי DSM-5-TR, בנוסף לדפוסי התנהגות/עניין מוגבלים וחזרתיים:</t>
        </is>
      </c>
      <c r="D11" s="13" t="inlineStr">
        <is>
          <t>עיכוב שפה מובהק</t>
        </is>
      </c>
      <c r="E11" s="13" t="inlineStr">
        <is>
          <t>ליקוי מתמשך בתקשורת ובאינטראקציה חברתית בהקשרים מרובים</t>
        </is>
      </c>
      <c r="F11" s="13" t="inlineStr">
        <is>
          <t>IQ מתחת ל-70</t>
        </is>
      </c>
      <c r="G11" s="13" t="inlineStr">
        <is>
          <t>היפראקטיביות</t>
        </is>
      </c>
      <c r="H11" s="14" t="inlineStr">
        <is>
          <t>ב</t>
        </is>
      </c>
      <c r="I11" s="13" t="inlineStr">
        <is>
          <t>DSM-5-TR מאחד את הליקוי החברתי-תקשורתי לקריטריון אחד הכרחי (קריטריון A) הדורש ליקוי בכל שלושת התחומים: הדדיות חברתית-רגשית, תקשורת לא-מילולית, ופיתוח/שימור יחסים. עיכוב שפה ו-IQ נמוך אינם הכרחיים (מצוינים כ-specifiers).</t>
        </is>
      </c>
      <c r="J11" s="13" t="inlineStr">
        <is>
          <t>DSM-5-TR עמ' 35-100; Dulcan ch.8</t>
        </is>
      </c>
    </row>
    <row r="12">
      <c r="A12" s="2" t="n">
        <v>3</v>
      </c>
      <c r="B12" s="2" t="n">
        <v>1</v>
      </c>
      <c r="C12" s="13" t="inlineStr">
        <is>
          <t>לפי DSM-5-TR, חומרת מוגבלות שכלית התפתחותית נקבעת על פי:</t>
        </is>
      </c>
      <c r="D12" s="13" t="inlineStr">
        <is>
          <t>ציון IQ בלבד</t>
        </is>
      </c>
      <c r="E12" s="13" t="inlineStr">
        <is>
          <t>תפקוד אדפטיבי (conceptual, social, practical)</t>
        </is>
      </c>
      <c r="F12" s="13" t="inlineStr">
        <is>
          <t>גיל ההופעה</t>
        </is>
      </c>
      <c r="G12" s="13" t="inlineStr">
        <is>
          <t>נוכחות אפילפסיה</t>
        </is>
      </c>
      <c r="H12" s="14" t="inlineStr">
        <is>
          <t>ב</t>
        </is>
      </c>
      <c r="I12" s="13" t="inlineStr">
        <is>
          <t>מ-DSM-5 ואילך החומרה (קלה/בינונית/קשה/עמוקה) נקבעת לפי התפקוד האדפטיבי בשלושת התחומים ולא לפי ציון IQ, משום שהתפקוד האדפטיבי הוא שקובע את רמת התמיכה הנדרשת.</t>
        </is>
      </c>
      <c r="J12" s="13" t="inlineStr">
        <is>
          <t>DSM-5-TR עמ' 35-100; כרטיסיות עמ' 160-162</t>
        </is>
      </c>
    </row>
    <row r="13">
      <c r="A13" s="2" t="n">
        <v>3</v>
      </c>
      <c r="B13" s="2" t="n">
        <v>2</v>
      </c>
      <c r="C13" s="13" t="inlineStr">
        <is>
          <t>לאבחנת תסמונת טורט (Tourette) לפי DSM-5-TR נדרשים:</t>
        </is>
      </c>
      <c r="D13" s="13" t="inlineStr">
        <is>
          <t>טיקים מוטוריים בלבד למשך שנה</t>
        </is>
      </c>
      <c r="E13" s="13" t="inlineStr">
        <is>
          <t>טיקים ווקאליים בלבד למשך שנה</t>
        </is>
      </c>
      <c r="F13" s="13" t="inlineStr">
        <is>
          <t>טיקים מוטוריים מרובים וטיק ווקאלי אחד לפחות, למשך &gt;1 שנה, הופעה לפני גיל 18</t>
        </is>
      </c>
      <c r="G13" s="13" t="inlineStr">
        <is>
          <t>טיקים החל מגיל 18</t>
        </is>
      </c>
      <c r="H13" s="14" t="inlineStr">
        <is>
          <t>ג</t>
        </is>
      </c>
      <c r="I13" s="13" t="inlineStr">
        <is>
          <t>טורט דורש ריבוי טיקים מוטוריים ו-≥1 טיק ווקאלי (לא בהכרח בו-זמנית), שנמשכים &gt;שנה עם הופעה לפני גיל 18. קומורבידיות שכיחה: ADHD ו-OCD.</t>
        </is>
      </c>
      <c r="J13" s="13" t="inlineStr">
        <is>
          <t>DSM-5-TR עמ' 35-100; כרטיסיות עמ' 169-175</t>
        </is>
      </c>
    </row>
    <row r="14">
      <c r="A14" s="2" t="n">
        <v>3</v>
      </c>
      <c r="B14" s="2" t="n">
        <v>3</v>
      </c>
      <c r="C14" s="13" t="inlineStr">
        <is>
          <t>בן 15 עם אפיזודה דיכאונית מז'ורית ראשונה. איזה נתון בהיסטוריה מעלה את הסיכון להמרה (switch) למאניה עם התחלת SSRI?</t>
        </is>
      </c>
      <c r="D14" s="13" t="inlineStr">
        <is>
          <t>מין נקבה</t>
        </is>
      </c>
      <c r="E14" s="13" t="inlineStr">
        <is>
          <t>היסטוריה משפחתית של הפרעה ביפולרית</t>
        </is>
      </c>
      <c r="F14" s="13" t="inlineStr">
        <is>
          <t>תסמיני חרדה נלווים</t>
        </is>
      </c>
      <c r="G14" s="13" t="inlineStr">
        <is>
          <t>הישגים אקדמיים גבוהים</t>
        </is>
      </c>
      <c r="H14" s="14" t="inlineStr">
        <is>
          <t>ב</t>
        </is>
      </c>
      <c r="I14" s="13" t="inlineStr">
        <is>
          <t>היסטוריה משפחתית של ביפולריות, הופעה מוקדמת, תסמינים פסיכוטיים, והיפומאניה מושרית-תרופה — כולם מנבאים סיכון גבוה יותר ל-switch. יש לעקוב מקרוב בתחילת טיפול ובהעלאת מינון.</t>
        </is>
      </c>
      <c r="J14" s="13" t="inlineStr">
        <is>
          <t>כרטיסיות עמ' 11, 23-34</t>
        </is>
      </c>
    </row>
    <row r="15">
      <c r="A15" s="2" t="n">
        <v>3</v>
      </c>
      <c r="B15" s="2" t="n">
        <v>4</v>
      </c>
      <c r="C15" s="13" t="inlineStr">
        <is>
          <t>מהו ה-SSRI בעל ה-FDA approval לדיכאון בילדים (מגיל 8):</t>
        </is>
      </c>
      <c r="D15" s="13" t="inlineStr">
        <is>
          <t>Sertraline</t>
        </is>
      </c>
      <c r="E15" s="13" t="inlineStr">
        <is>
          <t>Paroxetine</t>
        </is>
      </c>
      <c r="F15" s="13" t="inlineStr">
        <is>
          <t>Fluoxetine</t>
        </is>
      </c>
      <c r="G15" s="13" t="inlineStr">
        <is>
          <t>Citalopram</t>
        </is>
      </c>
      <c r="H15" s="14" t="inlineStr">
        <is>
          <t>ג</t>
        </is>
      </c>
      <c r="I15" s="13" t="inlineStr">
        <is>
          <t>פלואוקסטין מאושר לדיכאון בילדים מגיל 8 ובעל בסיס הראיות החזק ביותר; זמן מחצית חיים ארוך מפחית תסמיני גמילה. פארוקסטין נמנע בילדים (T½ קצר, סיכון אובדני מוגבר במחקרים). אסציטלופרם מאושר לדיכאון מגיל 12.</t>
        </is>
      </c>
      <c r="J15" s="13" t="inlineStr">
        <is>
          <t>Stahl C&amp;A (fluoxetine); Dulcan ch.35</t>
        </is>
      </c>
    </row>
    <row r="16">
      <c r="A16" s="2" t="n">
        <v>3</v>
      </c>
      <c r="B16" s="2" t="n">
        <v>5</v>
      </c>
      <c r="C16" s="13" t="inlineStr">
        <is>
          <t>התופעה 'discontinuation syndrome' (תסמונת הפסקה) בולטת במיוחד ב-SSRI בעל זמן מחצית החיים הקצר:</t>
        </is>
      </c>
      <c r="D16" s="13" t="inlineStr">
        <is>
          <t>Fluoxetine</t>
        </is>
      </c>
      <c r="E16" s="13" t="inlineStr">
        <is>
          <t>Paroxetine</t>
        </is>
      </c>
      <c r="F16" s="13" t="inlineStr">
        <is>
          <t>Sertraline</t>
        </is>
      </c>
      <c r="G16" s="13" t="inlineStr">
        <is>
          <t>כולם באותה מידה</t>
        </is>
      </c>
      <c r="H16" s="14" t="inlineStr">
        <is>
          <t>ב</t>
        </is>
      </c>
      <c r="I16" s="13" t="inlineStr">
        <is>
          <t>פארוקסטין (T½ קצר, וגם פעילות אנטיכולינרגית) גורם לתסמיני הפסקה בולטים — סחרחורת, תסמינים דמויי-שפעת, פרסטזיות, עצבנות. פלואוקסטין (T½ ארוך) כמעט ואינו גורם לכך.</t>
        </is>
      </c>
      <c r="J16" s="13" t="inlineStr">
        <is>
          <t>Stahl Essential ch.7; כרטיסיות עמ' 11</t>
        </is>
      </c>
    </row>
    <row r="17">
      <c r="A17" s="15" t="n">
        <v>4</v>
      </c>
      <c r="B17" s="15" t="n">
        <v>1</v>
      </c>
      <c r="C17" s="13" t="inlineStr">
        <is>
          <t>ילד בן 9 עם התפרצויות זעם חמורות ותכופות (≥3 בשבוע) על רקע מצב רוח עצבני מתמשך רוב היום, ברוב הימים, במשך שנה. האבחנה המתאימה ב-DSM-5-TR:</t>
        </is>
      </c>
      <c r="D17" s="13" t="inlineStr">
        <is>
          <t>הפרעה ביפולרית</t>
        </is>
      </c>
      <c r="E17" s="13" t="inlineStr">
        <is>
          <t>Disruptive Mood Dysregulation Disorder (DMDD)</t>
        </is>
      </c>
      <c r="F17" s="13" t="inlineStr">
        <is>
          <t>ODD</t>
        </is>
      </c>
      <c r="G17" s="13" t="inlineStr">
        <is>
          <t>Intermittent Explosive Disorder</t>
        </is>
      </c>
      <c r="H17" s="14" t="inlineStr">
        <is>
          <t>ב</t>
        </is>
      </c>
      <c r="I17" s="13" t="inlineStr">
        <is>
          <t>DMDD: התפרצויות זעם חמורות וחוזרות ≥3/שבוע + מצב רוח עצבני/כועס מתמשך ביניהן, ≥12 חודשים, הופעה לפני גיל 10, אבחנה בין גיל 6-18. נועדה להפחית אבחון-יתר של ביפולריות בילדים. ב-IED אין מצב רוח עצבני כרוני בין ההתפרצויות.</t>
        </is>
      </c>
      <c r="J17" s="13" t="inlineStr">
        <is>
          <t>DSM-5-TR עמ' 177-214; כרטיסיות עמ' 21-22</t>
        </is>
      </c>
    </row>
    <row r="18">
      <c r="A18" s="15" t="n">
        <v>4</v>
      </c>
      <c r="B18" s="15" t="n">
        <v>2</v>
      </c>
      <c r="C18" s="13" t="inlineStr">
        <is>
          <t>לפני התחלת ליתיום, איזו בדיקת בסיס הכרחית במיוחד בשל פרופיל תופעות הלוואי הכרוני?</t>
        </is>
      </c>
      <c r="D18" s="13" t="inlineStr">
        <is>
          <t>ECG בלבד</t>
        </is>
      </c>
      <c r="E18" s="13" t="inlineStr">
        <is>
          <t>תפקודי כליה (קריאטינין/eGFR) ותפקודי בלוטת התריס (TSH)</t>
        </is>
      </c>
      <c r="F18" s="13" t="inlineStr">
        <is>
          <t>ספירת דם בלבד</t>
        </is>
      </c>
      <c r="G18" s="13" t="inlineStr">
        <is>
          <t>בדיקת ראייה</t>
        </is>
      </c>
      <c r="H18" s="14" t="inlineStr">
        <is>
          <t>ב</t>
        </is>
      </c>
      <c r="I18" s="13" t="inlineStr">
        <is>
          <t>ליתיום מופרש כלייתית ועלול לפגוע בכליה (nephrogenic DI, אי-ספיקה כרונית) ולגרום להיפותירואידיזם. בסיס: קריאטינין/eGFR, TSH, אלקטרוליטים, בטא-hCG. חלון טיפולי צר (0.6-1.2 mEq/L) — נדרש ניטור רמות.</t>
        </is>
      </c>
      <c r="J18" s="13" t="inlineStr">
        <is>
          <t>Stahl C&amp;A (lithium); Dulcan ch.36</t>
        </is>
      </c>
    </row>
    <row r="19">
      <c r="A19" s="15" t="n">
        <v>4</v>
      </c>
      <c r="B19" s="15" t="n">
        <v>3</v>
      </c>
      <c r="C19" s="13" t="inlineStr">
        <is>
          <t>מייצב מצב הרוח הדורש טיטרציה איטית במיוחד בשל סיכון ל-Stevens-Johnson syndrome:</t>
        </is>
      </c>
      <c r="D19" s="13" t="inlineStr">
        <is>
          <t>Valproate</t>
        </is>
      </c>
      <c r="E19" s="13" t="inlineStr">
        <is>
          <t>Lithium</t>
        </is>
      </c>
      <c r="F19" s="13" t="inlineStr">
        <is>
          <t>Lamotrigine</t>
        </is>
      </c>
      <c r="G19" s="13" t="inlineStr">
        <is>
          <t>Carbamazepine</t>
        </is>
      </c>
      <c r="H19" s="14" t="inlineStr">
        <is>
          <t>ג</t>
        </is>
      </c>
      <c r="I19" s="13" t="inlineStr">
        <is>
          <t>למוטריגין נושא סיכון לפריחה חמורה (SJS/TEN), במיוחד עם טיטרציה מהירה או שילוב עם ולפרואט (שמעכב את פירוקו). לכן טיטרציה איטית מאוד. יעיל במיוחד למניעת אפיזודות דיכאוניות בביפולרי. ולפרואט — טרטוגני (NTD) והפטוטוקסי.</t>
        </is>
      </c>
      <c r="J19" s="13" t="inlineStr">
        <is>
          <t>Stahl Essential ch.7; Dulcan ch.36</t>
        </is>
      </c>
    </row>
    <row r="20">
      <c r="A20" s="15" t="n">
        <v>4</v>
      </c>
      <c r="B20" s="15" t="n">
        <v>4</v>
      </c>
      <c r="C20" s="13" t="inlineStr">
        <is>
          <t>הבחנה מרכזית בין הפרעת פאניקה לבין התקף פאניקה (panic attack):</t>
        </is>
      </c>
      <c r="D20" s="13" t="inlineStr">
        <is>
          <t>התקף פאניקה תמיד דורש טיפול תרופתי</t>
        </is>
      </c>
      <c r="E20" s="13" t="inlineStr">
        <is>
          <t>הפרעת פאניקה דורשת התקפים חוזרים ובלתי-צפויים + חשש מתמשך/שינוי התנהגות ≥חודש</t>
        </is>
      </c>
      <c r="F20" s="13" t="inlineStr">
        <is>
          <t>התקף פאניקה נמשך שעות</t>
        </is>
      </c>
      <c r="G20" s="13" t="inlineStr">
        <is>
          <t>אין הבדל</t>
        </is>
      </c>
      <c r="H20" s="14" t="inlineStr">
        <is>
          <t>ב</t>
        </is>
      </c>
      <c r="I20" s="13" t="inlineStr">
        <is>
          <t>התקף פאניקה הוא אירוע בדיד (specifier שיכול להופיע בכל הפרעה); הפרעת פאניקה דורשת התקפים חוזרים ובלתי-צפויים ואחריהם ≥חודש של דאגה מתמשכת מהתקף נוסף או שינוי התנהגותי מסתגל (הימנעות). ההתקף מגיע לשיא תוך דקות.</t>
        </is>
      </c>
      <c r="J20" s="13" t="inlineStr">
        <is>
          <t>DSM-5-TR עמ' 215-262; כרטיסיות עמ' 59</t>
        </is>
      </c>
    </row>
    <row r="21">
      <c r="A21" s="15" t="n">
        <v>4</v>
      </c>
      <c r="B21" s="15" t="n">
        <v>5</v>
      </c>
      <c r="C21" s="13" t="inlineStr">
        <is>
          <t>אבחנת Selective Mutism לפי DSM-5-TR מאופיינת ב:</t>
        </is>
      </c>
      <c r="D21" s="13" t="inlineStr">
        <is>
          <t>סירוב לדבר בכל ההקשרים</t>
        </is>
      </c>
      <c r="E21" s="13" t="inlineStr">
        <is>
          <t>כשל עקבי לדבר במצבים חברתיים ספציפיים (למשל בי"ס) למרות דיבור תקין באחרים</t>
        </is>
      </c>
      <c r="F21" s="13" t="inlineStr">
        <is>
          <t>ליקוי שפה נוירולוגי</t>
        </is>
      </c>
      <c r="G21" s="13" t="inlineStr">
        <is>
          <t>הופעה בבגרות</t>
        </is>
      </c>
      <c r="H21" s="14" t="inlineStr">
        <is>
          <t>ב</t>
        </is>
      </c>
      <c r="I21" s="13" t="inlineStr">
        <is>
          <t>אילמות סלקטיבית: כשל עקבי לדבר במצבים חברתיים מוגדרים שבהם מצופה דיבור (בי"ס), למרות יכולת דיבור תקינה בסביבות אחרות (בית), למשך ≥חודש (לא רק החודש הראשון בבי"ס). מסווגת כהפרעת חרדה וקשורה חזק לחרדה חברתית.</t>
        </is>
      </c>
      <c r="J21" s="13" t="inlineStr">
        <is>
          <t>DSM-5-TR עמ' 215-262; כרטיסיות עמ' 53</t>
        </is>
      </c>
    </row>
    <row r="22">
      <c r="A22" s="2" t="n">
        <v>5</v>
      </c>
      <c r="B22" s="2" t="n">
        <v>1</v>
      </c>
      <c r="C22" s="13" t="inlineStr">
        <is>
          <t>הטיפול הפסיכולוגי מבוסס-הראיות הראשון (first-line) ל-OCD בילדים ומתבגרים:</t>
        </is>
      </c>
      <c r="D22" s="13" t="inlineStr">
        <is>
          <t>פסיכואנליזה</t>
        </is>
      </c>
      <c r="E22" s="13" t="inlineStr">
        <is>
          <t>Exposure and Response Prevention (ERP)</t>
        </is>
      </c>
      <c r="F22" s="13" t="inlineStr">
        <is>
          <t>טיפול תמיכתי</t>
        </is>
      </c>
      <c r="G22" s="13" t="inlineStr">
        <is>
          <t>Eye Movement Desensitization (EMDR)</t>
        </is>
      </c>
      <c r="H22" s="14" t="inlineStr">
        <is>
          <t>ב</t>
        </is>
      </c>
      <c r="I22" s="13" t="inlineStr">
        <is>
          <t>ERP — סוג של CBT — הוא הטיפול היעיל ביותר ל-OCD: חשיפה מדורגת לגירוי המעורר עם מניעת התגובה הקומפולסיבית. בשילוב עם SSRI במקרים בינוניים-קשים. ל-OCD נדרש לרוב מינון SSRI גבוה יותר ומשך טיפול ארוך יותר מאשר בדיכאון.</t>
        </is>
      </c>
      <c r="J22" s="13" t="inlineStr">
        <is>
          <t>Dulcan ch.17, ch.43; כרטיסיות עמ' 84-89</t>
        </is>
      </c>
    </row>
    <row r="23">
      <c r="A23" s="2" t="n">
        <v>5</v>
      </c>
      <c r="B23" s="2" t="n">
        <v>2</v>
      </c>
      <c r="C23" s="13" t="inlineStr">
        <is>
          <t>ההבדל בין Acute Stress Disorder ל-PTSD לפי DSM-5-TR נוגע בעיקר ל:</t>
        </is>
      </c>
      <c r="D23" s="13" t="inlineStr">
        <is>
          <t>סוג האירוע הטראומטי</t>
        </is>
      </c>
      <c r="E23" s="13" t="inlineStr">
        <is>
          <t>משך התסמינים (ASD: 3 ימים עד חודש; PTSD: &gt;חודש)</t>
        </is>
      </c>
      <c r="F23" s="13" t="inlineStr">
        <is>
          <t>גיל המטופל</t>
        </is>
      </c>
      <c r="G23" s="13" t="inlineStr">
        <is>
          <t>נוכחות פלאשבקים</t>
        </is>
      </c>
      <c r="H23" s="14" t="inlineStr">
        <is>
          <t>ב</t>
        </is>
      </c>
      <c r="I23" s="13" t="inlineStr">
        <is>
          <t>ASD מאובחן בין 3 ימים לחודש לאחר הטראומה; אם התסמינים נמשכים מעבר לחודש — PTSD. שניהם דורשים חשיפה לאירוע מאיים חיים/פציעה/אלימות מינית. בילדים &lt;6 יש קריטריונים התפתחותיים נפרדים ל-PTSD.</t>
        </is>
      </c>
      <c r="J23" s="13" t="inlineStr">
        <is>
          <t>DSM-5-TR עמ' 295-328; כרטיסיות עמ' 95-108</t>
        </is>
      </c>
    </row>
    <row r="24">
      <c r="A24" s="2" t="n">
        <v>5</v>
      </c>
      <c r="B24" s="2" t="n">
        <v>3</v>
      </c>
      <c r="C24" s="13" t="inlineStr">
        <is>
          <t>התרופה בעלת ההתוויה הספציפית לסיוטי-לילה (nightmares) ב-PTSD, הפועלת כאנטגוניסט אלפא-1:</t>
        </is>
      </c>
      <c r="D24" s="13" t="inlineStr">
        <is>
          <t>Sertraline</t>
        </is>
      </c>
      <c r="E24" s="13" t="inlineStr">
        <is>
          <t>Prazosin</t>
        </is>
      </c>
      <c r="F24" s="13" t="inlineStr">
        <is>
          <t>Clonidine</t>
        </is>
      </c>
      <c r="G24" s="13" t="inlineStr">
        <is>
          <t>Mirtazapine</t>
        </is>
      </c>
      <c r="H24" s="14" t="inlineStr">
        <is>
          <t>ב</t>
        </is>
      </c>
      <c r="I24" s="13" t="inlineStr">
        <is>
          <t>פראזוסין (אנטגוניסט אלפא-1 אדרנרגי) מפחית סיוטי-לילה וקטיעת שינה ב-PTSD. SSRI (sertraline, paroxetine) הם ה-first-line התרופתי הכללי. הטיפול המועדף בילדים הוא trauma-focused CBT.</t>
        </is>
      </c>
      <c r="J24" s="13" t="inlineStr">
        <is>
          <t>Dulcan ch.16; כרטיסיות עמ' 100-108</t>
        </is>
      </c>
    </row>
    <row r="25">
      <c r="A25" s="2" t="n">
        <v>5</v>
      </c>
      <c r="B25" s="2" t="n">
        <v>4</v>
      </c>
      <c r="C25" s="13" t="inlineStr">
        <is>
          <t>לפי DSM-5-TR, Prolonged Grief Disorder בילדים ומתבגרים מאובחנת כאשר עברו לפחות ___ מהאובדן:</t>
        </is>
      </c>
      <c r="D25" s="13" t="inlineStr">
        <is>
          <t>חודש</t>
        </is>
      </c>
      <c r="E25" s="13" t="inlineStr">
        <is>
          <t>3 חודשים</t>
        </is>
      </c>
      <c r="F25" s="13" t="inlineStr">
        <is>
          <t>6 חודשים</t>
        </is>
      </c>
      <c r="G25" s="13" t="inlineStr">
        <is>
          <t>12 חודשים</t>
        </is>
      </c>
      <c r="H25" s="14" t="inlineStr">
        <is>
          <t>ג</t>
        </is>
      </c>
      <c r="I25" s="13" t="inlineStr">
        <is>
          <t>בילדים ומתבגרים נדרשים ≥6 חודשים מהאובדן (במבוגרים ≥12 חודשים), עם געגוע עז מתמשך או עיסוק במת + תסמינים נוספים הפוגעים בתפקוד מעבר לנורמות התרבותיות. DSM-5-TR ביטל את ה-bereavement exclusion מדיכאון.</t>
        </is>
      </c>
      <c r="J25" s="13" t="inlineStr">
        <is>
          <t>DSM-5-TR; Dulcan ch.16</t>
        </is>
      </c>
    </row>
    <row r="26">
      <c r="A26" s="2" t="n">
        <v>5</v>
      </c>
      <c r="B26" s="2" t="n">
        <v>5</v>
      </c>
      <c r="C26" s="13" t="inlineStr">
        <is>
          <t>בהערכת חשד להתעללות פיזית בפעוט, איזה ממצא נחשב 'red flag' מחשיד במיוחד?</t>
        </is>
      </c>
      <c r="D26" s="13" t="inlineStr">
        <is>
          <t>חבורה על השוק (shin) בפעוט מתהלך</t>
        </is>
      </c>
      <c r="E26" s="13" t="inlineStr">
        <is>
          <t>שבר מטאפיזיאלי ('bucket-handle') ודימומים ברשתית</t>
        </is>
      </c>
      <c r="F26" s="13" t="inlineStr">
        <is>
          <t>שפשוף בברך</t>
        </is>
      </c>
      <c r="G26" s="13" t="inlineStr">
        <is>
          <t>כתם מונגולי</t>
        </is>
      </c>
      <c r="H26" s="14" t="inlineStr">
        <is>
          <t>ב</t>
        </is>
      </c>
      <c r="I26" s="13" t="inlineStr">
        <is>
          <t>שברים מטאפיזיאליים קלאסיים (bucket-handle) ודימומים ברשתית (abusive head trauma / shaken baby) מחשידים מאוד להתעללות. יש לשלול חיקויים רפואיים: osteogenesis imperfecta, הפרעות קרישה, כתמים מונגוליים. קיימת חובת דיווח (בישראל — חוק העונשין סעיף 368ד).</t>
        </is>
      </c>
      <c r="J26" s="13" t="inlineStr">
        <is>
          <t>Dulcan ch.24</t>
        </is>
      </c>
    </row>
    <row r="27">
      <c r="A27" s="15" t="n">
        <v>6</v>
      </c>
      <c r="B27" s="15" t="n">
        <v>1</v>
      </c>
      <c r="C27" s="13" t="inlineStr">
        <is>
          <t>ההבדל המרכזי בין Reactive Attachment Disorder ל-Disinhibited Social Engagement Disorder:</t>
        </is>
      </c>
      <c r="D27" s="13" t="inlineStr">
        <is>
          <t>RAD מופיע רק בבגרות</t>
        </is>
      </c>
      <c r="E27" s="13" t="inlineStr">
        <is>
          <t>RAD = נסיגה/מיעוט חיפוש נחמה; DSED = חברותיות לא-סלקטיבית כלפי זרים</t>
        </is>
      </c>
      <c r="F27" s="13" t="inlineStr">
        <is>
          <t>DSED דורש IQ נמוך</t>
        </is>
      </c>
      <c r="G27" s="13" t="inlineStr">
        <is>
          <t>אין הבדל קליני</t>
        </is>
      </c>
      <c r="H27" s="14" t="inlineStr">
        <is>
          <t>ב</t>
        </is>
      </c>
      <c r="I27" s="13" t="inlineStr">
        <is>
          <t>שתיהן נובעות מהזנחה חמורה/טיפול לא-עקבי מוקדם. ב-RAD הילד מופנם, ממעט לחפש ולקבל נחמה; ב-DSED הילד מגלה חברותיות מופרזת ולא-סלקטיבית ומוכן ללכת עם זרים. DSED יכולה להימשך גם לאחר שיפור בסביבה.</t>
        </is>
      </c>
      <c r="J27" s="13" t="inlineStr">
        <is>
          <t>DSM-5-TR עמ' 295-328; כרטיסיות עמ' 109-110</t>
        </is>
      </c>
    </row>
    <row r="28">
      <c r="A28" s="15" t="n">
        <v>6</v>
      </c>
      <c r="B28" s="15" t="n">
        <v>2</v>
      </c>
      <c r="C28" s="13" t="inlineStr">
        <is>
          <t>התסמין השלילי (negative symptom) של סכיזופרניה מבין הבאים:</t>
        </is>
      </c>
      <c r="D28" s="13" t="inlineStr">
        <is>
          <t>הזיות שמיעה</t>
        </is>
      </c>
      <c r="E28" s="13" t="inlineStr">
        <is>
          <t>מחשבות שווא</t>
        </is>
      </c>
      <c r="F28" s="13" t="inlineStr">
        <is>
          <t>אבוליציה (avolition) ושיטוח אפקט</t>
        </is>
      </c>
      <c r="G28" s="13" t="inlineStr">
        <is>
          <t>דיסאורגניזציה של הדיבור</t>
        </is>
      </c>
      <c r="H28" s="14" t="inlineStr">
        <is>
          <t>ג</t>
        </is>
      </c>
      <c r="I28" s="13" t="inlineStr">
        <is>
          <t>תסמינים שליליים: אבוליציה, אנהדוניה, אלוגיה, שיטוח אפקט, ניתוק חברתי — קשורים למסלול מזוקורטיקלי היפו-דופמינרגי ומגיבים פחות ל-FGA. הזיות ומחשבות שווא הם חיוביים (מזולימבי היפר-דופמינרגי); דיבור מבולבל הוא תסמין דיסאורגניזציה.</t>
        </is>
      </c>
      <c r="J28" s="13" t="inlineStr">
        <is>
          <t>Stahl Essential ch.4; כרטיסיות עמ' 65-71</t>
        </is>
      </c>
    </row>
    <row r="29">
      <c r="A29" s="15" t="n">
        <v>6</v>
      </c>
      <c r="B29" s="15" t="n">
        <v>3</v>
      </c>
      <c r="C29" s="13" t="inlineStr">
        <is>
          <t>ההבדל בין Schizophreniform Disorder לסכיזופרניה הוא:</t>
        </is>
      </c>
      <c r="D29" s="13" t="inlineStr">
        <is>
          <t>סוג ההזיות</t>
        </is>
      </c>
      <c r="E29" s="13" t="inlineStr">
        <is>
          <t>משך: schizophreniform = 1-6 חודשים; סכיזופרניה ≥6 חודשים</t>
        </is>
      </c>
      <c r="F29" s="13" t="inlineStr">
        <is>
          <t>גיל ההופעה</t>
        </is>
      </c>
      <c r="G29" s="13" t="inlineStr">
        <is>
          <t>נוכחות תסמינים שליליים</t>
        </is>
      </c>
      <c r="H29" s="14" t="inlineStr">
        <is>
          <t>ב</t>
        </is>
      </c>
      <c r="I29" s="13" t="inlineStr">
        <is>
          <t>Schizophreniform: תסמינים ≥חודש אך &lt;6 חודשים (כולל פרודרום/רזידואל). סכיזופרניה דורשת ≥6 חודשים. Brief Psychotic Disorder — מיום עד חודש עם חזרה מלאה לתפקוד. Schizoaffective — אפיזודת מצב-רוח מרכזית + ≥2 שבועות פסיכוזה ללא מצב-רוח.</t>
        </is>
      </c>
      <c r="J29" s="13" t="inlineStr">
        <is>
          <t>DSM-5-TR עמ' 101-138; כרטיסיות עמ' 72-73</t>
        </is>
      </c>
    </row>
    <row r="30">
      <c r="A30" s="15" t="n">
        <v>6</v>
      </c>
      <c r="B30" s="15" t="n">
        <v>4</v>
      </c>
      <c r="C30" s="13" t="inlineStr">
        <is>
          <t>מנגנון הפעולה המשותף לכל האנטיפסיכוטים היעילים נגד תסמינים חיוביים:</t>
        </is>
      </c>
      <c r="D30" s="13" t="inlineStr">
        <is>
          <t>אגוניזם ל-5-HT2A</t>
        </is>
      </c>
      <c r="E30" s="13" t="inlineStr">
        <is>
          <t>אנטגוניזם (או אגוניזם חלקי) לרצפטור D2</t>
        </is>
      </c>
      <c r="F30" s="13" t="inlineStr">
        <is>
          <t>עיכוב COMT</t>
        </is>
      </c>
      <c r="G30" s="13" t="inlineStr">
        <is>
          <t>חסימת תעלות נתרן</t>
        </is>
      </c>
      <c r="H30" s="14" t="inlineStr">
        <is>
          <t>ב</t>
        </is>
      </c>
      <c r="I30" s="13" t="inlineStr">
        <is>
          <t>כל האנטיפסיכוטים חוסמים או מפעילים חלקית את רצפטור D2 במסלול המזולימבי — זהו המכנה המשותף לפעילות נגד תסמינים חיוביים. SGA מוסיפים אנטגוניזם ל-5-HT2A (מפחית EPS ומשפר תסמינים שליליים). אגוניסטים חלקיים (אריפיפרזול) מייצבים דופמין.</t>
        </is>
      </c>
      <c r="J30" s="13" t="inlineStr">
        <is>
          <t>Stahl Essential ch.5</t>
        </is>
      </c>
    </row>
    <row r="31">
      <c r="A31" s="15" t="n">
        <v>6</v>
      </c>
      <c r="B31" s="15" t="n">
        <v>5</v>
      </c>
      <c r="C31" s="13" t="inlineStr">
        <is>
          <t>מדוע קלוזאפין שמור לסכיזופרניה עמידה לטיפול בלבד, למרות יעילותו הגבוהה?</t>
        </is>
      </c>
      <c r="D31" s="13" t="inlineStr">
        <is>
          <t>מחיר גבוה</t>
        </is>
      </c>
      <c r="E31" s="13" t="inlineStr">
        <is>
          <t>סיכון לאגרנולוציטוזיס המחייב ניטור ספירת דם</t>
        </is>
      </c>
      <c r="F31" s="13" t="inlineStr">
        <is>
          <t>השפעה איטית</t>
        </is>
      </c>
      <c r="G31" s="13" t="inlineStr">
        <is>
          <t>חוסר יעילות על תסמינים שליליים</t>
        </is>
      </c>
      <c r="H31" s="14" t="inlineStr">
        <is>
          <t>ב</t>
        </is>
      </c>
      <c r="I31" s="13" t="inlineStr">
        <is>
          <t>קלוזאפין הוא היעיל ביותר (כולל להפחתת אובדנות) אך נושא סיכון לאגרנולוציטוזיס (~1%) המחייב ניטור ANC סדרתי, וכן סיכון למיוקרדיטיס, פרכוסים במינון גבוה, וסיאלוריאה. לכן שמור למקרים עמידים (כישלון ≥2 אנטיפסיכוטים).</t>
        </is>
      </c>
      <c r="J31" s="13" t="inlineStr">
        <is>
          <t>Stahl C&amp;A (clozapine); כרטיסיות עמ' 76-83</t>
        </is>
      </c>
    </row>
    <row r="32">
      <c r="A32" s="2" t="n">
        <v>7</v>
      </c>
      <c r="B32" s="2" t="n">
        <v>1</v>
      </c>
      <c r="C32" s="13" t="inlineStr">
        <is>
          <t>האנטיפסיכוט האטיפי בעל העומס המטבולי (עלייה במשקל, דיסליפידמיה, סוכרת) הגבוה ביותר:</t>
        </is>
      </c>
      <c r="D32" s="13" t="inlineStr">
        <is>
          <t>Lurasidone</t>
        </is>
      </c>
      <c r="E32" s="13" t="inlineStr">
        <is>
          <t>Aripiprazole</t>
        </is>
      </c>
      <c r="F32" s="13" t="inlineStr">
        <is>
          <t>Olanzapine</t>
        </is>
      </c>
      <c r="G32" s="13" t="inlineStr">
        <is>
          <t>Ziprasidone</t>
        </is>
      </c>
      <c r="H32" s="14" t="inlineStr">
        <is>
          <t>ג</t>
        </is>
      </c>
      <c r="I32" s="13" t="inlineStr">
        <is>
          <t>אולנזפין (וקלוזאפין) בעלי הסיכון המטבולי הגבוה ביותר — עלייה משמעותית במשקל, דיסליפידמיה וסוכרת, בין היתר דרך אנטגוניזם ל-H1 ו-5-HT2C. לורסידון וזיפרסידון 'מטבולית ניטרליים' יחסית; אריפיפרזול נמוך. נדרש ניטור מטבולי סדרתי.</t>
        </is>
      </c>
      <c r="J32" s="13" t="inlineStr">
        <is>
          <t>Stahl Essential ch.5; כרטיסיות עמ' 76-83</t>
        </is>
      </c>
    </row>
    <row r="33">
      <c r="A33" s="2" t="n">
        <v>7</v>
      </c>
      <c r="B33" s="2" t="n">
        <v>2</v>
      </c>
      <c r="C33" s="13" t="inlineStr">
        <is>
          <t>מתבגר שהחל אנטיפסיכוט לפני יומיים מגיע עם עוויתות צוואר וסטייה כפויה של המבט כלפי מעלה (oculogyric crisis). האבחנה והטיפול:</t>
        </is>
      </c>
      <c r="D33" s="13" t="inlineStr">
        <is>
          <t>אקתזיה — פרופרנולול</t>
        </is>
      </c>
      <c r="E33" s="13" t="inlineStr">
        <is>
          <t>דיסטוניה אקוטית — אנטיכולינרגי (בנזטרופין/דיפנהידרמין)</t>
        </is>
      </c>
      <c r="F33" s="13" t="inlineStr">
        <is>
          <t>TD — VMAT2 inhibitor</t>
        </is>
      </c>
      <c r="G33" s="13" t="inlineStr">
        <is>
          <t>NMS — דנטרולן</t>
        </is>
      </c>
      <c r="H33" s="14" t="inlineStr">
        <is>
          <t>ב</t>
        </is>
      </c>
      <c r="I33" s="13" t="inlineStr">
        <is>
          <t>דיסטוניה אקוטית (עוויתות שרירים, טורטיקוליס, oculogyric crisis) מופיעה בשעות-ימים הראשונים, שכיחה יותר בצעירים וב-FGA בפוטנטיות גבוהה. טיפול מיידי: אנטיכולינרגי (בנזטרופין) או דיפנהידרמין. אקתזיה = חוסר-מנוחה מוטורי; TD = מאוחר.</t>
        </is>
      </c>
      <c r="J33" s="13" t="inlineStr">
        <is>
          <t>Dulcan ch.37; כרטיסיות עמ' 76-83</t>
        </is>
      </c>
    </row>
    <row r="34">
      <c r="A34" s="2" t="n">
        <v>7</v>
      </c>
      <c r="B34" s="2" t="n">
        <v>3</v>
      </c>
      <c r="C34" s="13" t="inlineStr">
        <is>
          <t>מהו הטיפול התרופתי המאושר (FDA) לדיסקינזיה מאוחרת (Tardive Dyskinesia)?</t>
        </is>
      </c>
      <c r="D34" s="13" t="inlineStr">
        <is>
          <t>אנטיכולינרגיים</t>
        </is>
      </c>
      <c r="E34" s="13" t="inlineStr">
        <is>
          <t>מעכבי VMAT2 (valbenazine, deutetrabenazine)</t>
        </is>
      </c>
      <c r="F34" s="13" t="inlineStr">
        <is>
          <t>הגברת מינון האנטיפסיכוט</t>
        </is>
      </c>
      <c r="G34" s="13" t="inlineStr">
        <is>
          <t>בנזודיאזפינים</t>
        </is>
      </c>
      <c r="H34" s="14" t="inlineStr">
        <is>
          <t>ב</t>
        </is>
      </c>
      <c r="I34" s="13" t="inlineStr">
        <is>
          <t>מעכבי VMAT2 (ולבנזין, דאוטטרהבנזין) מפחיתים שחרור דופמין ומאושרים ל-TD. אנטיכולינרגיים דווקא עלולים להחמיר TD (אך עוזרים בדיסטוניה/פרקינסוניזם). מניעה: שימוש במינון מינימלי וב-SGA, זיהוי מוקדם (AIMS).</t>
        </is>
      </c>
      <c r="J34" s="13" t="inlineStr">
        <is>
          <t>Stahl Essential ch.5; כרטיסיות עמ' 76-83</t>
        </is>
      </c>
    </row>
    <row r="35">
      <c r="A35" s="2" t="n">
        <v>7</v>
      </c>
      <c r="B35" s="2" t="n">
        <v>4</v>
      </c>
      <c r="C35" s="13" t="inlineStr">
        <is>
          <t>החתימה המעבדתית האופיינית ל-Neuroleptic Malignant Syndrome:</t>
        </is>
      </c>
      <c r="D35" s="13" t="inlineStr">
        <is>
          <t>ANC נמוך</t>
        </is>
      </c>
      <c r="E35" s="13" t="inlineStr">
        <is>
          <t>CK מוגבר מאוד, לויקוציטוזיס, חום, קשיחות 'lead-pipe', אי-יציבות אוטונומית</t>
        </is>
      </c>
      <c r="F35" s="13" t="inlineStr">
        <is>
          <t>TSH מוגבר</t>
        </is>
      </c>
      <c r="G35" s="13" t="inlineStr">
        <is>
          <t>היפוקלמיה מבודדת</t>
        </is>
      </c>
      <c r="H35" s="14" t="inlineStr">
        <is>
          <t>ב</t>
        </is>
      </c>
      <c r="I35" s="13" t="inlineStr">
        <is>
          <t>NMS: חום, קשיחות שרירים קיצונית (lead-pipe), שינוי מצב הכרה, אי-יציבות אוטונומית, CK מוגבר מאוד ולויקוציטוזיס — תגובה אידיוסינקרטית לחסימת דופמין. טיפול: הפסקת התרופה, קירור, נוזלים, דנטרולן/ברומוקריפטין. קטטוניה חמורה/NMS — התוויה ל-ECT.</t>
        </is>
      </c>
      <c r="J35" s="13" t="inlineStr">
        <is>
          <t>Dulcan ch.37, ch.29</t>
        </is>
      </c>
    </row>
    <row r="36">
      <c r="A36" s="2" t="n">
        <v>7</v>
      </c>
      <c r="B36" s="2" t="n">
        <v>5</v>
      </c>
      <c r="C36" s="13" t="inlineStr">
        <is>
          <t>מבין הבאים, ההתוויה החזקה ביותר ל-ECT בילדים ומתבגרים:</t>
        </is>
      </c>
      <c r="D36" s="13" t="inlineStr">
        <is>
          <t>ADHD עמיד</t>
        </is>
      </c>
      <c r="E36" s="13" t="inlineStr">
        <is>
          <t>קטטוניה, NMS, או דיכאון מז'ורי עמיד עם סיכון אובדני אקוטי</t>
        </is>
      </c>
      <c r="F36" s="13" t="inlineStr">
        <is>
          <t>הפרעת חרדה</t>
        </is>
      </c>
      <c r="G36" s="13" t="inlineStr">
        <is>
          <t>טיקים</t>
        </is>
      </c>
      <c r="H36" s="14" t="inlineStr">
        <is>
          <t>ב</t>
        </is>
      </c>
      <c r="I36" s="13" t="inlineStr">
        <is>
          <t>ECT בילדים/מתבגרים שמור למצבים חמורים ומסכני-חיים או עמידים: קטטוניה, NMS, מאניה חריפה, דיכאון מז'ורי עמיד עם אובדנות/סירוב אכילה, ופסיכוזה עמידה. תופעת הלוואי העיקרית — אמנזיה אנטרוגרדית/רטרוגרדית חולפת.</t>
        </is>
      </c>
      <c r="J36" s="13" t="inlineStr">
        <is>
          <t>Synopsis ch.22; כרטיסיות עמ' 35-36</t>
        </is>
      </c>
    </row>
    <row r="37">
      <c r="A37" s="15" t="n">
        <v>8</v>
      </c>
      <c r="B37" s="15" t="n">
        <v>1</v>
      </c>
      <c r="C37" s="13" t="inlineStr">
        <is>
          <t>הטיפול מבוסס-הראיות ה-first-line לאינסומניה כרונית (גם בילדים ומתבגרים):</t>
        </is>
      </c>
      <c r="D37" s="13" t="inlineStr">
        <is>
          <t>בנזודיאזפינים</t>
        </is>
      </c>
      <c r="E37" s="13" t="inlineStr">
        <is>
          <t>CBT-I (Cognitive Behavioral Therapy for Insomnia)</t>
        </is>
      </c>
      <c r="F37" s="13" t="inlineStr">
        <is>
          <t>מלטונין לכל החיים</t>
        </is>
      </c>
      <c r="G37" s="13" t="inlineStr">
        <is>
          <t>אנטיהיסטמינים</t>
        </is>
      </c>
      <c r="H37" s="14" t="inlineStr">
        <is>
          <t>ב</t>
        </is>
      </c>
      <c r="I37" s="13" t="inlineStr">
        <is>
          <t>CBT-I — כולל היגיינת שינה, בקרת גירויים, הגבלת שינה ורסטרוקטורינג קוגניטיבי — הוא ה-first-line ובעל יעילות מתמשכת. תרופות שינה שמורות לטווח קצר. מלטונין עשוי לסייע בעיכוב שלב השינה, במיוחד ב-ASD/ADHD.</t>
        </is>
      </c>
      <c r="J37" s="13" t="inlineStr">
        <is>
          <t>Dulcan ch.22; כרטיסיות עמ' 208-216</t>
        </is>
      </c>
    </row>
    <row r="38">
      <c r="A38" s="15" t="n">
        <v>8</v>
      </c>
      <c r="B38" s="15" t="n">
        <v>2</v>
      </c>
      <c r="C38" s="13" t="inlineStr">
        <is>
          <t>הסיבוך המטבולי המסכן-חיים ביותר בשלב חידוש ההזנה (refeeding) באנורקסיה נרבוזה:</t>
        </is>
      </c>
      <c r="D38" s="13" t="inlineStr">
        <is>
          <t>היפרקלמיה</t>
        </is>
      </c>
      <c r="E38" s="13" t="inlineStr">
        <is>
          <t>היפופוספטמיה</t>
        </is>
      </c>
      <c r="F38" s="13" t="inlineStr">
        <is>
          <t>היפרנתרמיה</t>
        </is>
      </c>
      <c r="G38" s="13" t="inlineStr">
        <is>
          <t>היפרקלצמיה</t>
        </is>
      </c>
      <c r="H38" s="14" t="inlineStr">
        <is>
          <t>ב</t>
        </is>
      </c>
      <c r="I38" s="13" t="inlineStr">
        <is>
          <t>תסמונת ה-refeeding מאופיינת בהיפופוספטמיה חדה (עם היפוקלמיה והיפומגנזמיה) עקב מעבר תוך-תאי בתיווך אינסולין, ועלולה לגרום לאי-ספיקת לב והפרעות קצב. יש לחדש הזנה בזהירות ('start low') עם ניטור אלקטרוליטים ותיסוף פוספט.</t>
        </is>
      </c>
      <c r="J38" s="13" t="inlineStr">
        <is>
          <t>Dulcan ch.19; כרטיסיות עמ' 111-132</t>
        </is>
      </c>
    </row>
    <row r="39">
      <c r="A39" s="15" t="n">
        <v>8</v>
      </c>
      <c r="B39" s="15" t="n">
        <v>3</v>
      </c>
      <c r="C39" s="13" t="inlineStr">
        <is>
          <t>ההבדל האבחוני המרכזי בין Bulimia Nervosa ל-Binge Eating Disorder:</t>
        </is>
      </c>
      <c r="D39" s="13" t="inlineStr">
        <is>
          <t>גיל ההופעה</t>
        </is>
      </c>
      <c r="E39" s="13" t="inlineStr">
        <is>
          <t>נוכחות התנהגויות מפצות (compensatory) בבולימיה, והיעדרן ב-BED</t>
        </is>
      </c>
      <c r="F39" s="13" t="inlineStr">
        <is>
          <t>משקל הגוף</t>
        </is>
      </c>
      <c r="G39" s="13" t="inlineStr">
        <is>
          <t>תדירות ההתקפים</t>
        </is>
      </c>
      <c r="H39" s="14" t="inlineStr">
        <is>
          <t>ב</t>
        </is>
      </c>
      <c r="I39" s="13" t="inlineStr">
        <is>
          <t>בבולימיה יש התנהגויות מפצות חוזרות (הקאה, משלשלים, צום, פעילות גופנית מוגזמת) בעקבות אכילת יתר; ב-BED יש אכילת יתר עם מצוקה אך ללא התנהגויות מפצות. ב-BN המשקל לרוב תקין/גבוה. משלשלים/הקאות → היפוקלמיה ו-alkalosis.</t>
        </is>
      </c>
      <c r="J39" s="13" t="inlineStr">
        <is>
          <t>DSM-5-TR עמ' 371-398; כרטיסיות עמ' 111-132</t>
        </is>
      </c>
    </row>
    <row r="40">
      <c r="A40" s="15" t="n">
        <v>8</v>
      </c>
      <c r="B40" s="15" t="n">
        <v>4</v>
      </c>
      <c r="C40" s="13" t="inlineStr">
        <is>
          <t>לפי DSM-5-TR, אבחנת Enuresis דורשת גיל כרונולוגי (או התפתחותי מקביל) של לפחות:</t>
        </is>
      </c>
      <c r="D40" s="13" t="inlineStr">
        <is>
          <t>3 שנים</t>
        </is>
      </c>
      <c r="E40" s="13" t="inlineStr">
        <is>
          <t>4 שנים</t>
        </is>
      </c>
      <c r="F40" s="13" t="inlineStr">
        <is>
          <t>5 שנים</t>
        </is>
      </c>
      <c r="G40" s="13" t="inlineStr">
        <is>
          <t>7 שנים</t>
        </is>
      </c>
      <c r="H40" s="14" t="inlineStr">
        <is>
          <t>ג</t>
        </is>
      </c>
      <c r="I40" s="13" t="inlineStr">
        <is>
          <t>אנורזיס: הרטבה חוזרת (≥2/שבוע למשך ≥3 חודשים או פגיעה תפקודית) בגיל ≥5. הטיפול ההתנהגותי הראשוני — מערכת אזעקת-הרטבה (bell-and-pad); דספרסין (desmopressin) לטווח קצר. אנקופרזיס — גיל ≥4.</t>
        </is>
      </c>
      <c r="J40" s="13" t="inlineStr">
        <is>
          <t>DSM-5-TR עמ' 399-406; כרטיסיות עמ' 181-188</t>
        </is>
      </c>
    </row>
    <row r="41">
      <c r="A41" s="15" t="n">
        <v>8</v>
      </c>
      <c r="B41" s="15" t="n">
        <v>5</v>
      </c>
      <c r="C41" s="13" t="inlineStr">
        <is>
          <t>הטיפול מבוסס-הראיות המוביל לאנורקסיה נרבוזה במתבגרים:</t>
        </is>
      </c>
      <c r="D41" s="13" t="inlineStr">
        <is>
          <t>אשפוז פסיכיאטרי ממושך</t>
        </is>
      </c>
      <c r="E41" s="13" t="inlineStr">
        <is>
          <t>Family-Based Treatment (FBT / שיטת Maudsley)</t>
        </is>
      </c>
      <c r="F41" s="13" t="inlineStr">
        <is>
          <t>SSRI כמונותרפיה</t>
        </is>
      </c>
      <c r="G41" s="13" t="inlineStr">
        <is>
          <t>פסיכואנליזה</t>
        </is>
      </c>
      <c r="H41" s="14" t="inlineStr">
        <is>
          <t>ב</t>
        </is>
      </c>
      <c r="I41" s="13" t="inlineStr">
        <is>
          <t>FBT (Maudsley) — המערב את ההורים בהחזרת השליטה על ההזנה בשלב הראשון — הוא הטיפול מבוסס-הראיות המוביל לאנורקסיה במתבגרים. תרופות אינן first-line לאנורקסיה (SSRI לא יעיל בשלב תת-המשקל); ייצוב רפואי קודם לכול.</t>
        </is>
      </c>
      <c r="J41" s="13" t="inlineStr">
        <is>
          <t>Dulcan ch.19; כרטיסיות עמ' 111-132</t>
        </is>
      </c>
    </row>
    <row r="42">
      <c r="A42" s="2" t="n">
        <v>9</v>
      </c>
      <c r="B42" s="2" t="n">
        <v>1</v>
      </c>
      <c r="C42" s="13" t="inlineStr">
        <is>
          <t>מסגרת הזמן הקריטית להופעת Delirium Tremens (DT) בגמילה מאלכוהול היא:</t>
        </is>
      </c>
      <c r="D42" s="13" t="inlineStr">
        <is>
          <t>6-12 שעות</t>
        </is>
      </c>
      <c r="E42" s="13" t="inlineStr">
        <is>
          <t>12-24 שעות</t>
        </is>
      </c>
      <c r="F42" s="13" t="inlineStr">
        <is>
          <t>48-72 שעות</t>
        </is>
      </c>
      <c r="G42" s="13" t="inlineStr">
        <is>
          <t>מעל שבוע</t>
        </is>
      </c>
      <c r="H42" s="14" t="inlineStr">
        <is>
          <t>ג</t>
        </is>
      </c>
      <c r="I42" s="13" t="inlineStr">
        <is>
          <t>ציר הזמן: רעד/חרדה 6-12 שעות; פרכוסים 12-48 שעות; הזיות אלכוהוליות 12-24 שעות; DT (בלבול, אי-יציבות אוטונומית, תמותה 5-15%) 48-72 שעות. טיפול: בנזודיאזפינים (front-loading) לפי CIWA-Ar; תיאמין לפני גלוקוז.</t>
        </is>
      </c>
      <c r="J42" s="13" t="inlineStr">
        <is>
          <t>כרטיסיות עמ' 192-202; Dulcan ch.12</t>
        </is>
      </c>
    </row>
    <row r="43">
      <c r="A43" s="2" t="n">
        <v>9</v>
      </c>
      <c r="B43" s="2" t="n">
        <v>2</v>
      </c>
      <c r="C43" s="13" t="inlineStr">
        <is>
          <t>מדוע יש לתת תיאמין לפני עומס גלוקוז בחולה עם הפרעת שימוש באלכוהול?</t>
        </is>
      </c>
      <c r="D43" s="13" t="inlineStr">
        <is>
          <t>תיאמין משפר ספיגת גלוקוז</t>
        </is>
      </c>
      <c r="E43" s="13" t="inlineStr">
        <is>
          <t>גלוקוז ללא תיאמין עלול להחיש אנצפלופתיה של Wernicke</t>
        </is>
      </c>
      <c r="F43" s="13" t="inlineStr">
        <is>
          <t>למניעת היפוגליקמיה</t>
        </is>
      </c>
      <c r="G43" s="13" t="inlineStr">
        <is>
          <t>אין קשר</t>
        </is>
      </c>
      <c r="H43" s="14" t="inlineStr">
        <is>
          <t>ב</t>
        </is>
      </c>
      <c r="I43" s="13" t="inlineStr">
        <is>
          <t>מתן גלוקוז בחולה מחוסר תיאמין מדלדל עוד יותר את מאגרי התיאמין (קו-פקטור מטבולי) ועלול להחיש Wernicke (אטקסיה, אופתלמופלגיה, בלבול). Wernicke בלתי-מטופל → Korsakoff (אמנזיה אנטרוגרדית + קונפבולציה, בלתי-הפיך).</t>
        </is>
      </c>
      <c r="J43" s="13" t="inlineStr">
        <is>
          <t>כרטיסיות עמ' 192-202</t>
        </is>
      </c>
    </row>
    <row r="44">
      <c r="A44" s="2" t="n">
        <v>9</v>
      </c>
      <c r="B44" s="2" t="n">
        <v>3</v>
      </c>
      <c r="C44" s="13" t="inlineStr">
        <is>
          <t>אגוניסט חלקי לרצפטור אופיואידי מסוג mu, המשמש לטיפול תחזוקה ב-OUD ובעל 'ceiling effect' על דיכוי נשימתי:</t>
        </is>
      </c>
      <c r="D44" s="13" t="inlineStr">
        <is>
          <t>Methadone</t>
        </is>
      </c>
      <c r="E44" s="13" t="inlineStr">
        <is>
          <t>Buprenorphine</t>
        </is>
      </c>
      <c r="F44" s="13" t="inlineStr">
        <is>
          <t>Naltrexone</t>
        </is>
      </c>
      <c r="G44" s="13" t="inlineStr">
        <is>
          <t>Naloxone</t>
        </is>
      </c>
      <c r="H44" s="14" t="inlineStr">
        <is>
          <t>ב</t>
        </is>
      </c>
      <c r="I44" s="13" t="inlineStr">
        <is>
          <t>בופרנורפין — אגוניסט חלקי ל-mu — בעל 'תקרה' על דיכוי נשימתי (בטיחות יחסית) ומשמש לתחזוקה (לרוב עם נלוקסון, Suboxone). מתדון — אגוניסט מלא. נלטרקסון — אנטגוניסט (חוסם). נלוקסון — אנטגוניסט להיפוך מנת-יתר אקוטית.</t>
        </is>
      </c>
      <c r="J44" s="13" t="inlineStr">
        <is>
          <t>כרטיסיות עמ' 192-202; Stahl Essential ch.13</t>
        </is>
      </c>
    </row>
    <row r="45">
      <c r="A45" s="2" t="n">
        <v>9</v>
      </c>
      <c r="B45" s="2" t="n">
        <v>4</v>
      </c>
      <c r="C45" s="13" t="inlineStr">
        <is>
          <t>הטיפול התרופתי לגמילה מעישון בעל היעילות הגבוהה ביותר, אגוניסט חלקי לרצפטור ניקוטיני α4β2:</t>
        </is>
      </c>
      <c r="D45" s="13" t="inlineStr">
        <is>
          <t>Bupropion</t>
        </is>
      </c>
      <c r="E45" s="13" t="inlineStr">
        <is>
          <t>Varenicline</t>
        </is>
      </c>
      <c r="F45" s="13" t="inlineStr">
        <is>
          <t>מדבקת ניקוטין</t>
        </is>
      </c>
      <c r="G45" s="13" t="inlineStr">
        <is>
          <t>Clonidine</t>
        </is>
      </c>
      <c r="H45" s="14" t="inlineStr">
        <is>
          <t>ב</t>
        </is>
      </c>
      <c r="I45" s="13" t="inlineStr">
        <is>
          <t>וארניקלין — אגוניסט חלקי ל-α4β2 — מפחית חשק וגם חוסם את התגמול מעישון, והוא היעיל ביותר. בופרופיון (NDRI) גם יעיל. יש להיזהר מתסמינים נוירופסיכיאטריים. NRT מקל על תסמיני גמילה.</t>
        </is>
      </c>
      <c r="J45" s="13" t="inlineStr">
        <is>
          <t>כרטיסיות עמ' 192-202</t>
        </is>
      </c>
    </row>
    <row r="46">
      <c r="A46" s="2" t="n">
        <v>9</v>
      </c>
      <c r="B46" s="2" t="n">
        <v>5</v>
      </c>
      <c r="C46" s="13" t="inlineStr">
        <is>
          <t>Gambling Disorder סווגה ב-DSM-5-TR תחת 'Substance-Related and Addictive Disorders' משום:</t>
        </is>
      </c>
      <c r="D46" s="13" t="inlineStr">
        <is>
          <t>היא נגרמת מסמים</t>
        </is>
      </c>
      <c r="E46" s="13" t="inlineStr">
        <is>
          <t>שיתוף מנגנוני תגמול מוחיים (dopaminergic reward) עם התמכרויות לחומרים</t>
        </is>
      </c>
      <c r="F46" s="13" t="inlineStr">
        <is>
          <t>היא נדירה</t>
        </is>
      </c>
      <c r="G46" s="13" t="inlineStr">
        <is>
          <t>אין לה טיפול</t>
        </is>
      </c>
      <c r="H46" s="14" t="inlineStr">
        <is>
          <t>ב</t>
        </is>
      </c>
      <c r="I46" s="13" t="inlineStr">
        <is>
          <t>הימור פתולוגי הוא ההתמכרות ההתנהגותית היחידה המסווגת רשמית עם הפרעות השימוש בחומרים ב-DSM-5, בשל שיתוף מנגנוני התגמול הדופמינרגיים המזולימביים והדמיון הקליני (סבילות, גמילה, אובדן שליטה).</t>
        </is>
      </c>
      <c r="J46" s="13" t="inlineStr">
        <is>
          <t>DSM-5-TR עמ' 543-666</t>
        </is>
      </c>
    </row>
    <row r="47">
      <c r="A47" s="15" t="n">
        <v>10</v>
      </c>
      <c r="B47" s="15" t="n">
        <v>1</v>
      </c>
      <c r="C47" s="13" t="inlineStr">
        <is>
          <t>שלוש קבוצות הפרעות האישיות ב-DSM-5-TR ('clusters') מאורגנות כך ש-Cluster A מתאפיין ב:</t>
        </is>
      </c>
      <c r="D47" s="13" t="inlineStr">
        <is>
          <t>דרמטי/רגשי</t>
        </is>
      </c>
      <c r="E47" s="13" t="inlineStr">
        <is>
          <t>חרד/נמנע</t>
        </is>
      </c>
      <c r="F47" s="13" t="inlineStr">
        <is>
          <t>מוזר/אקסצנטרי (paranoid, schizoid, schizotypal)</t>
        </is>
      </c>
      <c r="G47" s="13" t="inlineStr">
        <is>
          <t>אובססיבי</t>
        </is>
      </c>
      <c r="H47" s="14" t="inlineStr">
        <is>
          <t>ג</t>
        </is>
      </c>
      <c r="I47" s="13" t="inlineStr">
        <is>
          <t>Cluster A (מוזר/אקסצנטרי): פרנואידית, סכיזואידית, סכיזוטיפלית. Cluster B (דרמטי/רגשי/הפכפך): אנטיסוציאלית, גבולית, היסטריונית, נרקיסיסטית. Cluster C (חרד/נמנע): נמנעת, תלותית, אובססיבית-קומפולסיבית.</t>
        </is>
      </c>
      <c r="J47" s="13" t="inlineStr">
        <is>
          <t>DSM-5-TR עמ' 733-778; Synopsis ch.19</t>
        </is>
      </c>
    </row>
    <row r="48">
      <c r="A48" s="15" t="n">
        <v>10</v>
      </c>
      <c r="B48" s="15" t="n">
        <v>2</v>
      </c>
      <c r="C48" s="13" t="inlineStr">
        <is>
          <t>המנגנון ההגנתי המרכזי בהפרעת אישיות גבולית לפי קרנברג:</t>
        </is>
      </c>
      <c r="D48" s="13" t="inlineStr">
        <is>
          <t>סובלימציה</t>
        </is>
      </c>
      <c r="E48" s="13" t="inlineStr">
        <is>
          <t>פיצול (splitting)</t>
        </is>
      </c>
      <c r="F48" s="13" t="inlineStr">
        <is>
          <t>אינטלקטואליזציה</t>
        </is>
      </c>
      <c r="G48" s="13" t="inlineStr">
        <is>
          <t>הכחשה פסיכוטית</t>
        </is>
      </c>
      <c r="H48" s="14" t="inlineStr">
        <is>
          <t>ב</t>
        </is>
      </c>
      <c r="I48" s="13" t="inlineStr">
        <is>
          <t>פיצול (splitting) — תפיסת עצמי ואחרים כ'כולו טוב' או 'כולו רע' לסירוגין — הוא ההגנה המרכזית ב-BPD לפי קרנברג, ומסבירה את חוסר יציבות היחסים והזהות (identity diffusion). זיהוי השלכתי (projective identification) נפוץ אף הוא.</t>
        </is>
      </c>
      <c r="J48" s="13" t="inlineStr">
        <is>
          <t>Synopsis ch.19; כרטיסיות עמ' 203-207, 259-261</t>
        </is>
      </c>
    </row>
    <row r="49">
      <c r="A49" s="15" t="n">
        <v>10</v>
      </c>
      <c r="B49" s="15" t="n">
        <v>3</v>
      </c>
      <c r="C49" s="13" t="inlineStr">
        <is>
          <t>הטיפול הפסיכותרפויטי מבוסס-הראיות המוביל להפרעת אישיות גבולית:</t>
        </is>
      </c>
      <c r="D49" s="13" t="inlineStr">
        <is>
          <t>פסיכואנליזה קלאסית</t>
        </is>
      </c>
      <c r="E49" s="13" t="inlineStr">
        <is>
          <t>Dialectical Behavior Therapy (DBT)</t>
        </is>
      </c>
      <c r="F49" s="13" t="inlineStr">
        <is>
          <t>טיפול תמיכתי בלבד</t>
        </is>
      </c>
      <c r="G49" s="13" t="inlineStr">
        <is>
          <t>טיפול משפחתי מבני</t>
        </is>
      </c>
      <c r="H49" s="14" t="inlineStr">
        <is>
          <t>ב</t>
        </is>
      </c>
      <c r="I49" s="13" t="inlineStr">
        <is>
          <t>DBT (Linehan) — המשלב mindfulness, סבילות למצוקה, ויסות רגשי ואפקטיביות בין-אישית, בפורמט של טיפול פרטני + קבוצת מיומנויות + זמינות טלפונית — הוא בעל בסיס הראיות החזק ביותר ל-BPD, במיוחד להפחתת התנהגות אובדנית ו-NSSI. MBT ו-schema therapy גם יעילים.</t>
        </is>
      </c>
      <c r="J49" s="13" t="inlineStr">
        <is>
          <t>כרטיסיות עמ' 203-207</t>
        </is>
      </c>
    </row>
    <row r="50">
      <c r="A50" s="15" t="n">
        <v>10</v>
      </c>
      <c r="B50" s="15" t="n">
        <v>4</v>
      </c>
      <c r="C50" s="13" t="inlineStr">
        <is>
          <t>לפי DSM-5-TR, אבחנת Antisocial Personality Disorder דורשת:</t>
        </is>
      </c>
      <c r="D50" s="13" t="inlineStr">
        <is>
          <t>גיל ≥18 והוכחת Conduct Disorder לפני גיל 15</t>
        </is>
      </c>
      <c r="E50" s="13" t="inlineStr">
        <is>
          <t>אבחנה כבר מגיל 12</t>
        </is>
      </c>
      <c r="F50" s="13" t="inlineStr">
        <is>
          <t>נוכחות פסיכוזה</t>
        </is>
      </c>
      <c r="G50" s="13" t="inlineStr">
        <is>
          <t>IQ נמוך</t>
        </is>
      </c>
      <c r="H50" s="14" t="inlineStr">
        <is>
          <t>א</t>
        </is>
      </c>
      <c r="I50" s="13" t="inlineStr">
        <is>
          <t>ASPD דורשת גיל ≥18 + דפוס של זלזול בזכויות אחרים + עדות ל-Conduct Disorder עם הופעה לפני גיל 15. לכן קטין לא יאובחן כ-ASPD אלא כ-Conduct Disorder. Specifier 'with limited prosocial emotions' (callous-unemotional) מנבא פרוגנוזה קשה יותר.</t>
        </is>
      </c>
      <c r="J50" s="13" t="inlineStr">
        <is>
          <t>DSM-5-TR עמ' 733-778; Dulcan ch.11</t>
        </is>
      </c>
    </row>
    <row r="51">
      <c r="A51" s="15" t="n">
        <v>10</v>
      </c>
      <c r="B51" s="15" t="n">
        <v>5</v>
      </c>
      <c r="C51" s="13" t="inlineStr">
        <is>
          <t>ההבחנה בין הפרעת אישיות אובססיבית-קומפולסיבית (OCPD) ל-OCD:</t>
        </is>
      </c>
      <c r="D51" s="13" t="inlineStr">
        <is>
          <t>OCPD כוללת אובססיות וקומפולסיות אמיתיות</t>
        </is>
      </c>
      <c r="E51" s="13" t="inlineStr">
        <is>
          <t>OCPD היא דפוס אישיות ego-syntonic של פרפקציוניזם ושליטה, ללא אובססיות/קומפולסיות אמיתיות</t>
        </is>
      </c>
      <c r="F51" s="13" t="inlineStr">
        <is>
          <t>אין הבדל</t>
        </is>
      </c>
      <c r="G51" s="13" t="inlineStr">
        <is>
          <t>OCD מופיעה רק בבגרות</t>
        </is>
      </c>
      <c r="H51" s="14" t="inlineStr">
        <is>
          <t>ב</t>
        </is>
      </c>
      <c r="I51" s="13" t="inlineStr">
        <is>
          <t>OCPD היא דפוס אישיות חודר, אגו-סינטוני, של פרפקציוניזם, עיסוק בסדר, שליטה ונוקשות — ללא האובססיות והקומפולסיות המובחנות של OCD (שהן אגו-דיסטוניות). מטופל OCPD לרוב אינו סובל מהתכונות עצמן, בשונה מ-OCD.</t>
        </is>
      </c>
      <c r="J51" s="13" t="inlineStr">
        <is>
          <t>DSM-5-TR עמ' 733-778</t>
        </is>
      </c>
    </row>
    <row r="52">
      <c r="A52" s="2" t="n">
        <v>11</v>
      </c>
      <c r="B52" s="2" t="n">
        <v>1</v>
      </c>
      <c r="C52" s="13" t="inlineStr">
        <is>
          <t>עקרון Tarasoff (חובת אזהרה/הגנה) קובע כי המטפל:</t>
        </is>
      </c>
      <c r="D52" s="13" t="inlineStr">
        <is>
          <t>חייב תמיד לשמור על סודיות מוחלטת</t>
        </is>
      </c>
      <c r="E52" s="13" t="inlineStr">
        <is>
          <t>רשאי/חייב לפעול להגן על צד שלישי מזוהה הנמצא בסכנה קונקרטית</t>
        </is>
      </c>
      <c r="F52" s="13" t="inlineStr">
        <is>
          <t>חייב לאשפז כל מטופל אלים</t>
        </is>
      </c>
      <c r="G52" s="13" t="inlineStr">
        <is>
          <t>אינו נושא באחריות</t>
        </is>
      </c>
      <c r="H52" s="14" t="inlineStr">
        <is>
          <t>ב</t>
        </is>
      </c>
      <c r="I52" s="13" t="inlineStr">
        <is>
          <t>Tarasoff הרחיב את חובת המטפל מ'אזהרה' ל'הגנה' על קורבן מזוהה בסכנה ממשית — אזהרת הקורבן, יידוע רשויות, או אשפוז. זהו חריג לסודיות. סטנדרט Dusky נוגע לכשירות לעמוד לדין; M'Naghten לטענת אי-שפיות.</t>
        </is>
      </c>
      <c r="J52" s="13" t="inlineStr">
        <is>
          <t>Dulcan ch.31; Synopsis ch.28</t>
        </is>
      </c>
    </row>
    <row r="53">
      <c r="A53" s="2" t="n">
        <v>11</v>
      </c>
      <c r="B53" s="2" t="n">
        <v>2</v>
      </c>
      <c r="C53" s="13" t="inlineStr">
        <is>
          <t>ההבחנה הקלינית-פרוגנוסטית המרכזית בהערכת אגרסיה בילדים:</t>
        </is>
      </c>
      <c r="D53" s="13" t="inlineStr">
        <is>
          <t>מילולית מול פיזית</t>
        </is>
      </c>
      <c r="E53" s="13" t="inlineStr">
        <is>
          <t>תגובתית/אפקטיבית (reactive) מול פרואקטיבית/אינסטרומנטלית (proactive)</t>
        </is>
      </c>
      <c r="F53" s="13" t="inlineStr">
        <is>
          <t>בבית מול בבי"ס</t>
        </is>
      </c>
      <c r="G53" s="13" t="inlineStr">
        <is>
          <t>כלפי עצמי מול אחרים</t>
        </is>
      </c>
      <c r="H53" s="14" t="inlineStr">
        <is>
          <t>ב</t>
        </is>
      </c>
      <c r="I53" s="13" t="inlineStr">
        <is>
          <t>אגרסיה תגובתית (reactive/affective) — פרץ בתגובה לאיום/תסכול נתפס — לעומת פרואקטיבית (instrumental) — מתוכננת, מכוונת-מטרה, ללא עוררות. לאבחנה זו משמעות פרוגנוסטית וטיפולית: הפרואקטיבית קשורה יותר ל-callous-unemotional ולפרוגנוזה קשה.</t>
        </is>
      </c>
      <c r="J53" s="13" t="inlineStr">
        <is>
          <t>Dulcan ch.28</t>
        </is>
      </c>
    </row>
    <row r="54">
      <c r="A54" s="2" t="n">
        <v>11</v>
      </c>
      <c r="B54" s="2" t="n">
        <v>3</v>
      </c>
      <c r="C54" s="13" t="inlineStr">
        <is>
          <t>גורם הסיכון החזק ביותר לאובדנות מושלמת (completed suicide) במתבגרים:</t>
        </is>
      </c>
      <c r="D54" s="13" t="inlineStr">
        <is>
          <t>מין נקבה</t>
        </is>
      </c>
      <c r="E54" s="13" t="inlineStr">
        <is>
          <t>ניסיון אובדני קודם</t>
        </is>
      </c>
      <c r="F54" s="13" t="inlineStr">
        <is>
          <t>הישגיות אקדמית</t>
        </is>
      </c>
      <c r="G54" s="13" t="inlineStr">
        <is>
          <t>גיל צעיר</t>
        </is>
      </c>
      <c r="H54" s="14" t="inlineStr">
        <is>
          <t>ב</t>
        </is>
      </c>
      <c r="I54" s="13" t="inlineStr">
        <is>
          <t>ניסיון אובדני קודם הוא המנבא החזק ביותר. גורמים נוספים: מין זכר (מושלם), הפרעה פסיכיאטרית (דיכאון, שימוש בחומרים), נגישות לאמצעי קטלני (נשק), אובדנות במשפחה, בריונות. בנות מנסות יותר, בנים משלימים יותר.</t>
        </is>
      </c>
      <c r="J54" s="13" t="inlineStr">
        <is>
          <t>Dulcan ch.26; כרטיסיות עמ' 16-20</t>
        </is>
      </c>
    </row>
    <row r="55">
      <c r="A55" s="2" t="n">
        <v>11</v>
      </c>
      <c r="B55" s="2" t="n">
        <v>4</v>
      </c>
      <c r="C55" s="13" t="inlineStr">
        <is>
          <t>התרופה בעלת ההתוויה הספציפית ל-Postpartum Depression הפועלת כמודולטור של רצפטור GABA-A (אלופרגננולון):</t>
        </is>
      </c>
      <c r="D55" s="13" t="inlineStr">
        <is>
          <t>Sertraline</t>
        </is>
      </c>
      <c r="E55" s="13" t="inlineStr">
        <is>
          <t>Brexanolone / Zuranolone</t>
        </is>
      </c>
      <c r="F55" s="13" t="inlineStr">
        <is>
          <t>Lithium</t>
        </is>
      </c>
      <c r="G55" s="13" t="inlineStr">
        <is>
          <t>Fluoxetine</t>
        </is>
      </c>
      <c r="H55" s="14" t="inlineStr">
        <is>
          <t>ב</t>
        </is>
      </c>
      <c r="I55" s="13" t="inlineStr">
        <is>
          <t>ברקסנולון (עירוי IV) וזורנולון (פומי) הם אנלוגים של אלופרגננולון — נוירוסטרואיד המודולט את GABA-A — עם התוויה ספציפית ל-PPD והשפעה מהירה. דיכאון סב-לידתי נבדל מ'baby blues' (חולף) ומפסיכוזה סב-לידתית (חירום פסיכיאטרי).</t>
        </is>
      </c>
      <c r="J55" s="13" t="inlineStr">
        <is>
          <t>Stahl Essential ch.7</t>
        </is>
      </c>
    </row>
    <row r="56">
      <c r="A56" s="2" t="n">
        <v>11</v>
      </c>
      <c r="B56" s="2" t="n">
        <v>5</v>
      </c>
      <c r="C56" s="13" t="inlineStr">
        <is>
          <t>אבחנת Gender Dysphoria לפי DSM-5-TR מבוססת על:</t>
        </is>
      </c>
      <c r="D56" s="13" t="inlineStr">
        <is>
          <t>זהות מגדרית שאינה תואמת את המין שהוקצה</t>
        </is>
      </c>
      <c r="E56" s="13" t="inlineStr">
        <is>
          <t>אי-התאמה מתמשכת בין מגדר חווי למוקצה + מצוקה/פגיעה תפקודית משמעותית</t>
        </is>
      </c>
      <c r="F56" s="13" t="inlineStr">
        <is>
          <t>התנהגות לא-קונפורמית מגדרית בלבד</t>
        </is>
      </c>
      <c r="G56" s="13" t="inlineStr">
        <is>
          <t>העדפה מינית</t>
        </is>
      </c>
      <c r="H56" s="14" t="inlineStr">
        <is>
          <t>ב</t>
        </is>
      </c>
      <c r="I56" s="13" t="inlineStr">
        <is>
          <t>המצוקה (dysphoria) — לא הזהות עצמה — היא מוקד האבחנה: אי-התאמה מתמשכת (≥6 חודשים) בין המגדר החווי למוקצה, המלווה במצוקה או פגיעה תפקודית משמעותית. אי-קונפורמיות מגדרית כשלעצמה אינה הפרעה. הטיפול — affirming care.</t>
        </is>
      </c>
      <c r="J56" s="13" t="inlineStr">
        <is>
          <t>DSM-5-TR עמ' 511-520; Dulcan ch.27</t>
        </is>
      </c>
    </row>
    <row r="57">
      <c r="A57" s="15" t="n">
        <v>12</v>
      </c>
      <c r="B57" s="15" t="n">
        <v>1</v>
      </c>
      <c r="C57" s="13" t="inlineStr">
        <is>
          <t>הסימן הפתוגנומוני-כמעט ל-Wilson's disease בבדיקה עינית:</t>
        </is>
      </c>
      <c r="D57" s="13" t="inlineStr">
        <is>
          <t>Lisch nodules</t>
        </is>
      </c>
      <c r="E57" s="13" t="inlineStr">
        <is>
          <t>Kayser-Fleischer rings</t>
        </is>
      </c>
      <c r="F57" s="13" t="inlineStr">
        <is>
          <t>בצקת פפילרית</t>
        </is>
      </c>
      <c r="G57" s="13" t="inlineStr">
        <is>
          <t>קטרקט</t>
        </is>
      </c>
      <c r="H57" s="14" t="inlineStr">
        <is>
          <t>ב</t>
        </is>
      </c>
      <c r="I57" s="13" t="inlineStr">
        <is>
          <t>טבעות Kayser-Fleischer (שקיעת נחושת בקרנית) אופייניות למחלת וילסון (הצטברות נחושת עקב פגם ב-ATP7B), שיכולה להתייצג בגיל צעיר עם תסמינים פסיכיאטריים, כבדיים ותנועתיים. Lisch nodules — ב-neurofibromatosis type 1.</t>
        </is>
      </c>
      <c r="J57" s="13" t="inlineStr">
        <is>
          <t>כרטיסיות עמ' 293-295 (נוירולוגיה)</t>
        </is>
      </c>
    </row>
    <row r="58">
      <c r="A58" s="15" t="n">
        <v>12</v>
      </c>
      <c r="B58" s="15" t="n">
        <v>2</v>
      </c>
      <c r="C58" s="13" t="inlineStr">
        <is>
          <t>מחלת הנטינגטון מורשת בתבנית של:</t>
        </is>
      </c>
      <c r="D58" s="13" t="inlineStr">
        <is>
          <t>אוטוזומלי רצסיבי</t>
        </is>
      </c>
      <c r="E58" s="13" t="inlineStr">
        <is>
          <t>אוטוזומלי דומיננטי (הרחבת CAG בגן HTT) עם anticipation</t>
        </is>
      </c>
      <c r="F58" s="13" t="inlineStr">
        <is>
          <t>תאחיזה ל-X</t>
        </is>
      </c>
      <c r="G58" s="13" t="inlineStr">
        <is>
          <t>מיטוכונדריאלי</t>
        </is>
      </c>
      <c r="H58" s="14" t="inlineStr">
        <is>
          <t>ב</t>
        </is>
      </c>
      <c r="I58" s="13" t="inlineStr">
        <is>
          <t>הנטינגטון — אוטוזומלי דומיננטי, הרחבת חזרות CAG בגן HTT, עם תופעת anticipation (החמרה/הקדמה בין-דורית, במיוחד בהעברה אבהית). מתייצגת עם כוריאה, ירידה קוגניטיבית ותסמינים פסיכיאטריים (דיכאון, אובדנות, פסיכוזה).</t>
        </is>
      </c>
      <c r="J58" s="13" t="inlineStr">
        <is>
          <t>כרטיסיות עמ' 293-295</t>
        </is>
      </c>
    </row>
    <row r="59">
      <c r="A59" s="15" t="n">
        <v>12</v>
      </c>
      <c r="B59" s="15" t="n">
        <v>3</v>
      </c>
      <c r="C59" s="13" t="inlineStr">
        <is>
          <t>התסמונת הנוירוקוטנאית המאופיינת ב-'ash-leaf spots', רבדומיומות לבביות ופרכוסים היא:</t>
        </is>
      </c>
      <c r="D59" s="13" t="inlineStr">
        <is>
          <t>Neurofibromatosis type 1</t>
        </is>
      </c>
      <c r="E59" s="13" t="inlineStr">
        <is>
          <t>Tuberous Sclerosis</t>
        </is>
      </c>
      <c r="F59" s="13" t="inlineStr">
        <is>
          <t>Sturge-Weber</t>
        </is>
      </c>
      <c r="G59" s="13" t="inlineStr">
        <is>
          <t>Ataxia-telangiectasia</t>
        </is>
      </c>
      <c r="H59" s="14" t="inlineStr">
        <is>
          <t>ב</t>
        </is>
      </c>
      <c r="I59" s="13" t="inlineStr">
        <is>
          <t>טוברוס סקלרוזיס: ash-leaf spots (מקולות היפומלנוטיות), אדנומה סבצאה, רבדומיומות לבביות, פקעות מוחיות (tubers) ופרכוסים, ושכיחות גבוהה של אוטיזם ומוגבלות שכלית. NF1 — כתמי café-au-lait, נאורופיברומות, Lisch nodules.</t>
        </is>
      </c>
      <c r="J59" s="13" t="inlineStr">
        <is>
          <t>Dulcan ch.7; כרטיסיות עמ' 293-295</t>
        </is>
      </c>
    </row>
    <row r="60">
      <c r="A60" s="15" t="n">
        <v>12</v>
      </c>
      <c r="B60" s="15" t="n">
        <v>4</v>
      </c>
      <c r="C60" s="13" t="inlineStr">
        <is>
          <t>דליריום בילד מאושפז נבדל מדמנציה בעיקר ב:</t>
        </is>
      </c>
      <c r="D60" s="13" t="inlineStr">
        <is>
          <t>הפרעה בזיכרון</t>
        </is>
      </c>
      <c r="E60" s="13" t="inlineStr">
        <is>
          <t>הופעה אקוטית עם תנודתיות (fluctuating) ופגיעה בקשב</t>
        </is>
      </c>
      <c r="F60" s="13" t="inlineStr">
        <is>
          <t>היעדר גורם רפואי</t>
        </is>
      </c>
      <c r="G60" s="13" t="inlineStr">
        <is>
          <t>אין הבדל</t>
        </is>
      </c>
      <c r="H60" s="14" t="inlineStr">
        <is>
          <t>ב</t>
        </is>
      </c>
      <c r="I60" s="13" t="inlineStr">
        <is>
          <t>דליריום: הופעה אקוטית, מהלך תנודתי, פגיעה מרכזית בקשב ובמודעות, לרוב על רקע גורם רפואי/תרופתי הפיך — זהו חירום רפואי. הטיפול העיקרי הוא זיהוי וטיפול בגורם; אנטיפסיכוט במינון נמוך לאגיטציה קשה.</t>
        </is>
      </c>
      <c r="J60" s="13" t="inlineStr">
        <is>
          <t>DSM-5-TR עמ' 667-732 (Neurocognitive)</t>
        </is>
      </c>
    </row>
    <row r="61">
      <c r="A61" s="15" t="n">
        <v>12</v>
      </c>
      <c r="B61" s="15" t="n">
        <v>5</v>
      </c>
      <c r="C61" s="13" t="inlineStr">
        <is>
          <t>מנגנון פעולת ה-Sydenham chorea / הקשר ל-PANDAS מיוחס ל:</t>
        </is>
      </c>
      <c r="D61" s="13" t="inlineStr">
        <is>
          <t>חיידק ישיר במוח</t>
        </is>
      </c>
      <c r="E61" s="13" t="inlineStr">
        <is>
          <t>תגובה אוטואימונית פוסט-סטרפטוקוקלית עם נוגדנים מול גרעיני הבסיס</t>
        </is>
      </c>
      <c r="F61" s="13" t="inlineStr">
        <is>
          <t>גידול</t>
        </is>
      </c>
      <c r="G61" s="13" t="inlineStr">
        <is>
          <t>חוסר ויטמין</t>
        </is>
      </c>
      <c r="H61" s="14" t="inlineStr">
        <is>
          <t>ב</t>
        </is>
      </c>
      <c r="I61" s="13" t="inlineStr">
        <is>
          <t>כוריאה של סידנהם ו-PANDAS (Pediatric Autoimmune Neuropsychiatric Disorders Associated with Strep) מיוחסים לתגובה אוטואימונית פוסט-סטרפטוקוקלית (molecular mimicry) עם נוגדנים כנגד גרעיני הבסיס, המתבטאת ב-OCD/טיקים בהופעה פתאומית.</t>
        </is>
      </c>
      <c r="J61" s="13" t="inlineStr">
        <is>
          <t>כרטיסיות עמ' 293-295</t>
        </is>
      </c>
    </row>
    <row r="62">
      <c r="A62" s="2" t="n">
        <v>13</v>
      </c>
      <c r="B62" s="2" t="n">
        <v>1</v>
      </c>
      <c r="C62" s="13" t="inlineStr">
        <is>
          <t>אנצפליטיס אנטי-NMDA-receptor מתייצג קלאסית ב:</t>
        </is>
      </c>
      <c r="D62" s="13" t="inlineStr">
        <is>
          <t>חום גבוה בלבד</t>
        </is>
      </c>
      <c r="E62" s="13" t="inlineStr">
        <is>
          <t>תסמינים פסיכיאטריים חדים (פסיכוזה, קטטוניה), פרכוסים ותנועות דיסקינטיות, לעיתים עם טרטומה</t>
        </is>
      </c>
      <c r="F62" s="13" t="inlineStr">
        <is>
          <t>כאב ראש כרוני</t>
        </is>
      </c>
      <c r="G62" s="13" t="inlineStr">
        <is>
          <t>ירידה איטית בזיכרון</t>
        </is>
      </c>
      <c r="H62" s="14" t="inlineStr">
        <is>
          <t>ב</t>
        </is>
      </c>
      <c r="I62" s="13" t="inlineStr">
        <is>
          <t>אנצפליטיס אנטי-NMDA-R (לעיתים פרה-נאופלסטי עם טרטומה שחלתית) מתייצג בשלב פסיכיאטרי בולט — פסיכוזה, קטטוניה, שינויי התנהגות — ואז פרכוסים, דיסקינזיות אורו-פציאליות ואי-יציבות אוטונומית. חשוב לשקול בפסיכוזה חדה 'לא טיפוסית'.</t>
        </is>
      </c>
      <c r="J62" s="13" t="inlineStr">
        <is>
          <t>כרטיסיות עמ' 293-295</t>
        </is>
      </c>
    </row>
    <row r="63">
      <c r="A63" s="2" t="n">
        <v>13</v>
      </c>
      <c r="B63" s="2" t="n">
        <v>2</v>
      </c>
      <c r="C63" s="13" t="inlineStr">
        <is>
          <t>בניהול אגיטציה חריפה בחדר מיון לילדים, הסדר הנכון של ההתערבות הוא:</t>
        </is>
      </c>
      <c r="D63" s="13" t="inlineStr">
        <is>
          <t>הגבלה פיזית → תרופה → מילולי</t>
        </is>
      </c>
      <c r="E63" s="13" t="inlineStr">
        <is>
          <t>de-escalation מילולי → הרגעה תרופתית → הגבלה פיזית כמוצא אחרון</t>
        </is>
      </c>
      <c r="F63" s="13" t="inlineStr">
        <is>
          <t>תרופה בלבד</t>
        </is>
      </c>
      <c r="G63" s="13" t="inlineStr">
        <is>
          <t>הגבלה פיזית מיידית</t>
        </is>
      </c>
      <c r="H63" s="14" t="inlineStr">
        <is>
          <t>ב</t>
        </is>
      </c>
      <c r="I63" s="13" t="inlineStr">
        <is>
          <t>העיקרון הוא הפחתת-הסלמה מילולית והתערבות בסביבה תחילה, ואז הרגעה תרופתית (chemical restraint) לפי גיל/משקל, והגבלה פיזית כמוצא אחרון עם ניטור ותיעוד. תמיד לשלול גורם רפואי/טוקסי לאגיטציה.</t>
        </is>
      </c>
      <c r="J63" s="13" t="inlineStr">
        <is>
          <t>Dulcan ch.29</t>
        </is>
      </c>
    </row>
    <row r="64">
      <c r="A64" s="2" t="n">
        <v>13</v>
      </c>
      <c r="B64" s="2" t="n">
        <v>3</v>
      </c>
      <c r="C64" s="13" t="inlineStr">
        <is>
          <t>העיקרון המרכזי של Cognitive Behavioral Therapy (CBT) לפי בק:</t>
        </is>
      </c>
      <c r="D64" s="13" t="inlineStr">
        <is>
          <t>חשיפת קונפליקטים לא-מודעים מהילדות</t>
        </is>
      </c>
      <c r="E64" s="13" t="inlineStr">
        <is>
          <t>זיהוי ושינוי עיוותים קוגניטיביים המקשרים בין אירוע, מחשבה ורגש (ABC)</t>
        </is>
      </c>
      <c r="F64" s="13" t="inlineStr">
        <is>
          <t>התניה קלאסית בלבד</t>
        </is>
      </c>
      <c r="G64" s="13" t="inlineStr">
        <is>
          <t>ניתוח חלומות</t>
        </is>
      </c>
      <c r="H64" s="14" t="inlineStr">
        <is>
          <t>ב</t>
        </is>
      </c>
      <c r="I64" s="13" t="inlineStr">
        <is>
          <t>CBT מבוסס על המודל הקוגניטיבי: אירוע → מחשבה אוטומטית/עיוות קוגניטיבי → רגש והתנהגות (מודל ABC). הטיפול מזהה ומאתגר עיוותים (רסטרוקטורינג קוגניטיבי) ומשלב טכניקות התנהגותיות (הפעלה התנהגותית, חשיפה). המשולש הקוגניטיבי: עצמי, עולם, עתיד.</t>
        </is>
      </c>
      <c r="J64" s="13" t="inlineStr">
        <is>
          <t>Dulcan ch.43; כרטיסיות עמ' 278-280</t>
        </is>
      </c>
    </row>
    <row r="65">
      <c r="A65" s="2" t="n">
        <v>13</v>
      </c>
      <c r="B65" s="2" t="n">
        <v>4</v>
      </c>
      <c r="C65" s="13" t="inlineStr">
        <is>
          <t>ארבעת מודולי המיומנויות ב-DBT הם: mindfulness, סבילות למצוקה, ויסות רגשי, ו:</t>
        </is>
      </c>
      <c r="D65" s="13" t="inlineStr">
        <is>
          <t>חשיפה ממושכת</t>
        </is>
      </c>
      <c r="E65" s="13" t="inlineStr">
        <is>
          <t>אפקטיביות בין-אישית (interpersonal effectiveness)</t>
        </is>
      </c>
      <c r="F65" s="13" t="inlineStr">
        <is>
          <t>פרשנות העברה</t>
        </is>
      </c>
      <c r="G65" s="13" t="inlineStr">
        <is>
          <t>היפנוזה</t>
        </is>
      </c>
      <c r="H65" s="14" t="inlineStr">
        <is>
          <t>ב</t>
        </is>
      </c>
      <c r="I65" s="13" t="inlineStr">
        <is>
          <t>ארבעת מודולי המיומנויות ב-DBT: mindfulness, distress tolerance, emotion regulation, ו-interpersonal effectiveness. הבסיס התיאורטי הוא דיאלקטיקה בין קבלה לשינוי. יעיל במיוחד ל-BPD ולהתנהגות אובדנית/NSSI.</t>
        </is>
      </c>
      <c r="J65" s="13" t="inlineStr">
        <is>
          <t>כרטיסיות עמ' 203-207</t>
        </is>
      </c>
    </row>
    <row r="66">
      <c r="A66" s="2" t="n">
        <v>13</v>
      </c>
      <c r="B66" s="2" t="n">
        <v>5</v>
      </c>
      <c r="C66" s="13" t="inlineStr">
        <is>
          <t>IPT-A (Interpersonal Psychotherapy for Adolescents) מתמקד בארבעה תחומי בעיה. איזה מהבאים אינו אחד מהם?</t>
        </is>
      </c>
      <c r="D66" s="13" t="inlineStr">
        <is>
          <t>אבל (grief)</t>
        </is>
      </c>
      <c r="E66" s="13" t="inlineStr">
        <is>
          <t>מחלוקת בתפקיד בין-אישי (role dispute)</t>
        </is>
      </c>
      <c r="F66" s="13" t="inlineStr">
        <is>
          <t>מעבר בתפקיד (role transition)</t>
        </is>
      </c>
      <c r="G66" s="13" t="inlineStr">
        <is>
          <t>רסטרוקטורינג קוגניטיבי</t>
        </is>
      </c>
      <c r="H66" s="14" t="inlineStr">
        <is>
          <t>ד</t>
        </is>
      </c>
      <c r="I66" s="13" t="inlineStr">
        <is>
          <t>IPT-A מתמקד בארבעה תחומים: אבל, מחלוקת בתפקיד, מעבר בתפקיד, וחסכים בין-אישיים (interpersonal deficits) — כולם קושרים תסמיני דיכאון לקשרים הבין-אישיים. רסטרוקטורינג קוגניטיבי שייך ל-CBT, לא ל-IPT.</t>
        </is>
      </c>
      <c r="J66" s="13" t="inlineStr">
        <is>
          <t>Dulcan ch.42</t>
        </is>
      </c>
    </row>
    <row r="67">
      <c r="A67" s="15" t="n">
        <v>14</v>
      </c>
      <c r="B67" s="15" t="n">
        <v>1</v>
      </c>
      <c r="C67" s="13" t="inlineStr">
        <is>
          <t>'רוח' הראיון המוטיבציוני (Motivational Interviewing) כוללת שותפות, קבלה, חמלה ו:</t>
        </is>
      </c>
      <c r="D67" s="13" t="inlineStr">
        <is>
          <t>עימות (confrontation)</t>
        </is>
      </c>
      <c r="E67" s="13" t="inlineStr">
        <is>
          <t>עוררות (evocation) של מוטיבציה פנימית</t>
        </is>
      </c>
      <c r="F67" s="13" t="inlineStr">
        <is>
          <t>הכוונה סמכותית</t>
        </is>
      </c>
      <c r="G67" s="13" t="inlineStr">
        <is>
          <t>פרשנות</t>
        </is>
      </c>
      <c r="H67" s="14" t="inlineStr">
        <is>
          <t>ב</t>
        </is>
      </c>
      <c r="I67" s="13" t="inlineStr">
        <is>
          <t>MI (Miller &amp; Rollnick) שואף לעורר (evoke) מהמטופל את המוטיבציה והנימוקים לשינוי, במקום לכפותם מבחוץ. עקרון מרכזי — 'לגלגל עם ההתנגדות' ולחזק change talk, ולא לעמת. שימושי בהתמכרויות, היענות והפרעות אכילה במתבגרים.</t>
        </is>
      </c>
      <c r="J67" s="13" t="inlineStr">
        <is>
          <t>Dulcan ch.44</t>
        </is>
      </c>
    </row>
    <row r="68">
      <c r="A68" s="15" t="n">
        <v>14</v>
      </c>
      <c r="B68" s="15" t="n">
        <v>2</v>
      </c>
      <c r="C68" s="13" t="inlineStr">
        <is>
          <t>לפי ויניקוט, 'האובייקט המעברי' (transitional object) מייצג:</t>
        </is>
      </c>
      <c r="D68" s="13" t="inlineStr">
        <is>
          <t>פתולוגיה מוקדמת</t>
        </is>
      </c>
      <c r="E68" s="13" t="inlineStr">
        <is>
          <t>מרחב ביניים בין המציאות הפנימית לחיצונית המסייע להיפרדות מהאם</t>
        </is>
      </c>
      <c r="F68" s="13" t="inlineStr">
        <is>
          <t>הגנה פסיכוטית</t>
        </is>
      </c>
      <c r="G68" s="13" t="inlineStr">
        <is>
          <t>סימפטום של חרדת נטישה</t>
        </is>
      </c>
      <c r="H68" s="14" t="inlineStr">
        <is>
          <t>ב</t>
        </is>
      </c>
      <c r="I68" s="13" t="inlineStr">
        <is>
          <t>האובייקט המעברי (שמיכה, בובה) תופס לפי ויניקוט את 'המרחב הפוטנציאלי' בין העצמי לאם — תופעה נורמלית ובריאה המסייעת לילד להתמודד עם היפרדות. מושגים נוספים: 'אם טובה דיה', holding, true/false self.</t>
        </is>
      </c>
      <c r="J68" s="13" t="inlineStr">
        <is>
          <t>כרטיסיות עמ' 253-257</t>
        </is>
      </c>
    </row>
    <row r="69">
      <c r="A69" s="15" t="n">
        <v>14</v>
      </c>
      <c r="B69" s="15" t="n">
        <v>3</v>
      </c>
      <c r="C69" s="13" t="inlineStr">
        <is>
          <t>לפי מרגרט מאהלר, תת-השלב שבו הפעוט מתרחק וחוזר לאם לצורך 'תדלוק רגשי' (refueling) הוא:</t>
        </is>
      </c>
      <c r="D69" s="13" t="inlineStr">
        <is>
          <t>אוטיזם נורמלי</t>
        </is>
      </c>
      <c r="E69" s="13" t="inlineStr">
        <is>
          <t>סימביוזה</t>
        </is>
      </c>
      <c r="F69" s="13" t="inlineStr">
        <is>
          <t>Rapprochement</t>
        </is>
      </c>
      <c r="G69" s="13" t="inlineStr">
        <is>
          <t>קביעות אובייקט</t>
        </is>
      </c>
      <c r="H69" s="14" t="inlineStr">
        <is>
          <t>ג</t>
        </is>
      </c>
      <c r="I69" s="13" t="inlineStr">
        <is>
          <t>בתהליך ההיפרדות-אינדיבידואציה של מאהלר, שלב ה-rapprochement (~15-24 חודשים) מאופיין באמביוולנטיות — הפעוט מתרחק לחקור וחוזר ל'תדלוק' מהאם. משבר ה-rapprochement רלוונטי להבנת BPD. השלב הסופי — קביעות אובייקט רגשית.</t>
        </is>
      </c>
      <c r="J69" s="13" t="inlineStr">
        <is>
          <t>כרטיסיות עמ' 258</t>
        </is>
      </c>
    </row>
    <row r="70">
      <c r="A70" s="15" t="n">
        <v>14</v>
      </c>
      <c r="B70" s="15" t="n">
        <v>4</v>
      </c>
      <c r="C70" s="13" t="inlineStr">
        <is>
          <t>רמת הראיות (evidence) החזקה ביותר להערכת יעילות התערבות טיפולית היא:</t>
        </is>
      </c>
      <c r="D70" s="13" t="inlineStr">
        <is>
          <t>דעת מומחה</t>
        </is>
      </c>
      <c r="E70" s="13" t="inlineStr">
        <is>
          <t>סדרת מקרים</t>
        </is>
      </c>
      <c r="F70" s="13" t="inlineStr">
        <is>
          <t>מטה-אנליזה של מחקרים אקראיים מבוקרים (RCT)</t>
        </is>
      </c>
      <c r="G70" s="13" t="inlineStr">
        <is>
          <t>מחקר מקרה-ביקורת</t>
        </is>
      </c>
      <c r="H70" s="14" t="inlineStr">
        <is>
          <t>ג</t>
        </is>
      </c>
      <c r="I70" s="13" t="inlineStr">
        <is>
          <t>היררכיית הראיות: מטה-אנליזה/סקירה שיטתית של RCT &gt; RCT בודד &gt; עוקבה &gt; מקרה-ביקורת &gt; סדרת מקרים &gt; דעת מומחה. מדדים לפירוש: NNT, גודל אפקט, רווח בר-סמך. יש להבחין בין מובהקות סטטיסטית למשמעות קלינית.</t>
        </is>
      </c>
      <c r="J70" s="13" t="inlineStr">
        <is>
          <t>Dulcan ch.23</t>
        </is>
      </c>
    </row>
    <row r="71">
      <c r="A71" s="15" t="n">
        <v>14</v>
      </c>
      <c r="B71" s="15" t="n">
        <v>5</v>
      </c>
      <c r="C71" s="13" t="inlineStr">
        <is>
          <t>לפי אריקסון, המשימה הפסיכו-חברתית המרכזית של גיל ההתבגרות היא:</t>
        </is>
      </c>
      <c r="D71" s="13" t="inlineStr">
        <is>
          <t>אמון מול חוסר אמון</t>
        </is>
      </c>
      <c r="E71" s="13" t="inlineStr">
        <is>
          <t>יוזמה מול אשמה</t>
        </is>
      </c>
      <c r="F71" s="13" t="inlineStr">
        <is>
          <t>זהות מול בלבול תפקידים (identity vs. role confusion)</t>
        </is>
      </c>
      <c r="G71" s="13" t="inlineStr">
        <is>
          <t>אינטימיות מול בידוד</t>
        </is>
      </c>
      <c r="H71" s="14" t="inlineStr">
        <is>
          <t>ג</t>
        </is>
      </c>
      <c r="I71" s="13" t="inlineStr">
        <is>
          <t>לפי אריקסון, גיל ההתבגרות מתאפיין במשבר 'זהות מול בלבול תפקידים' — גיבוש זהות אישית, ערכית ומקצועית. פתרון מוצלח → תחושת זהות מגובשת; כישלון → בלבול תפקידים. השלב הבא (בגרות צעירה) — אינטימיות מול בידוד.</t>
        </is>
      </c>
      <c r="J71" s="13" t="inlineStr">
        <is>
          <t>כרטיסיות עמ' 266-267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2026-08-02T17:48:03Z</dcterms:created>
  <dcterms:modified xmlns:dcterms="http://purl.org/dc/terms/" xmlns:xsi="http://www.w3.org/2001/XMLSchema-instance" xsi:type="dcterms:W3CDTF">2026-08-02T17:48:03Z</dcterms:modified>
</cp:coreProperties>
</file>